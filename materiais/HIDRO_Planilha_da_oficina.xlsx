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Participantes" sheetId="3" state="visible" r:id="rId5"/>
    <sheet name="Validacao_IVC" sheetId="4" state="visible" r:id="rId6"/>
    <sheet name="Observaco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<sst xmlns="http://schemas.openxmlformats.org/spreadsheetml/2006/main" count="255" uniqueCount="219">
  <si>
    <t xml:space="preserve">HIDRO: planilha da oficina com agentes e pesquisadores</t>
  </si>
  <si>
    <t xml:space="preserve">Para que serve</t>
  </si>
  <si>
    <t xml:space="preserve">Reunir as respostas dos instrumentos da oficina e calcular automaticamente: médias antes e depois, concordância por item, índice de validade de conteúdo (I-CVI) e resumo das observações técnicas.</t>
  </si>
  <si>
    <t xml:space="preserve">Como usar</t>
  </si>
  <si>
    <t xml:space="preserve">1) Cada participante recebe um código (P01, P02...). 2) Digite as respostas na aba "Participantes" (uma linha por participante). 3) Digite as notas dos especialistas na aba "Validacao_IVC" (uma coluna por especialista, E1, E2...). 4) Registre as observações na aba "Observacoes". 5) Veja os resultados e os gráficos na aba "Resumo".</t>
  </si>
  <si>
    <t xml:space="preserve">Onde digitar</t>
  </si>
  <si>
    <t xml:space="preserve">Somente nas células de fundo amarelo e letras azuis. Não digite nas células com fórmulas (fundo branco ou cinza).</t>
  </si>
  <si>
    <t xml:space="preserve">Escalas</t>
  </si>
  <si>
    <t xml:space="preserve">Confiança, experiência, intenção e utilidade: 1 a 5 (1 = discordo totalmente; 5 = concordo totalmente). Validação de conteúdo: 1 a 4 (1 = inadequado; 2 = precisa de revisão importante; 3 = adequado com pequenos ajustes; 4 = totalmente adequado).</t>
  </si>
  <si>
    <t xml:space="preserve">Itens negativos</t>
  </si>
  <si>
    <t xml:space="preserve">Na experiência, os itens 7 e 8 (desconforto e incômodo com sons e luzes) são negativos: notas altas indicam mais desconforto. Não os some aos demais.</t>
  </si>
  <si>
    <t xml:space="preserve">I-CVI</t>
  </si>
  <si>
    <t xml:space="preserve">Número de especialistas que deram nota 3 ou 4 ÷ número de especialistas que avaliaram o item. Referência: até 5 especialistas, exige-se 1,00; com 6 ou mais, I-CVI ≥ 0,78 (Lynn, 1986). Índice geral (S-CVI/Ave): média dos I-CVI, referência ≥ 0,90 (Polit; Beck, 2006).</t>
  </si>
  <si>
    <t xml:space="preserve">Exemplo</t>
  </si>
  <si>
    <t xml:space="preserve">Item A1 avaliado por 8 especialistas com as notas 4, 4, 3, 4, 3, 4, 2, 4: 7 deram nota 3 ou 4, então I-CVI = 7 ÷ 8 = 0,88, acima de 0,78: "Adequado".</t>
  </si>
  <si>
    <t xml:space="preserve">Privacidade</t>
  </si>
  <si>
    <t xml:space="preserve">Não digite nomes nem e-mails. Use apenas os códigos. Guarde a lista de correspondência (se existir) separada desta planilha.</t>
  </si>
  <si>
    <t xml:space="preserve">Limites</t>
  </si>
  <si>
    <t xml:space="preserve">As escalas de confiança e experiência foram elaboradas para esta oficina e não foram validadas. Uma turma de oficina é uma amostra pequena e de conveniência: apresente os resultados de forma descritiva e sem generalizar.</t>
  </si>
  <si>
    <t xml:space="preserve">Legenda de cores</t>
  </si>
  <si>
    <t xml:space="preserve">Digite aqui</t>
  </si>
  <si>
    <t xml:space="preserve">Células de entrada (fundo amarelo, letras azuis)</t>
  </si>
  <si>
    <t xml:space="preserve">Calculado</t>
  </si>
  <si>
    <t xml:space="preserve">Células com fórmulas (não digite)</t>
  </si>
  <si>
    <t xml:space="preserve">Resumo dos resultados</t>
  </si>
  <si>
    <t xml:space="preserve">Tudo nesta aba é calculado automaticamente. Não digite aqui.</t>
  </si>
  <si>
    <t xml:space="preserve">Participantes com respostas</t>
  </si>
  <si>
    <t xml:space="preserve">Confiança para usar jogos em ações educativas (média, escala de 1 a 5)</t>
  </si>
  <si>
    <t xml:space="preserve">Item</t>
  </si>
  <si>
    <t xml:space="preserve">Média pré</t>
  </si>
  <si>
    <t xml:space="preserve">Média pós</t>
  </si>
  <si>
    <t xml:space="preserve">Diferença</t>
  </si>
  <si>
    <t xml:space="preserve">Item 1: Sei explicar a estudantes do ensino fundamental a diferença entre alagamento, enxurrada, enchente e deslizamento.</t>
  </si>
  <si>
    <t xml:space="preserve">Item 2: Sei como um jogo digital pode ser usado em uma ação educativa sobre riscos de desastres.</t>
  </si>
  <si>
    <t xml:space="preserve">Item 3: Consigo planejar uma atividade com o HIDRO em parceria com uma escola.</t>
  </si>
  <si>
    <t xml:space="preserve">Item 4: Sei adaptar uma atividade educativa para estudantes autistas ou com altas habilidades.</t>
  </si>
  <si>
    <t xml:space="preserve">Item 5: Sei como avaliar se uma ação educativa com jogo foi efetiva.</t>
  </si>
  <si>
    <t xml:space="preserve">Média geral dos cinco itens</t>
  </si>
  <si>
    <t xml:space="preserve">Experiência com o jogo (1 a 5). Itens 7 e 8 são negativos</t>
  </si>
  <si>
    <t xml:space="preserve">Média</t>
  </si>
  <si>
    <t xml:space="preserve">% de concordância (notas 4 e 5)</t>
  </si>
  <si>
    <t xml:space="preserve">Respostas</t>
  </si>
  <si>
    <t xml:space="preserve">1. Foi fácil entender o que eu precisava fazer no jogo.</t>
  </si>
  <si>
    <t xml:space="preserve">2. Os controles foram fáceis de usar.</t>
  </si>
  <si>
    <t xml:space="preserve">3. Os textos foram claros.</t>
  </si>
  <si>
    <t xml:space="preserve">4. O jogo prendeu a minha atenção.</t>
  </si>
  <si>
    <t xml:space="preserve">5. O jogo me fez refletir sobre as decisões em uma emergência.</t>
  </si>
  <si>
    <t xml:space="preserve">6. O tempo de cada fase foi adequado.</t>
  </si>
  <si>
    <t xml:space="preserve">7. Senti-me desconfortável ou sobrecarregado(a) em algum momento.</t>
  </si>
  <si>
    <t xml:space="preserve">8. Os sons, as luzes ou os efeitos me incomodaram.</t>
  </si>
  <si>
    <t xml:space="preserve">9. O jogo é adequado para estudantes do 6º ao 9º ano.</t>
  </si>
  <si>
    <t xml:space="preserve">10. Eu recomendaria o jogo a professores e escolas.</t>
  </si>
  <si>
    <t xml:space="preserve">Intenção de uso e utilidade percebida (1 a 5)</t>
  </si>
  <si>
    <t xml:space="preserve">Intenção: Pretendo apresentar o HIDRO a escolas ou professores com quem atuo.</t>
  </si>
  <si>
    <t xml:space="preserve">Intenção: Usaria o jogo em uma ação educativa (palestra, oficina, semana de prevenção).</t>
  </si>
  <si>
    <t xml:space="preserve">Intenção: Gostaria de participar de um estudo sobre o uso do jogo.</t>
  </si>
  <si>
    <t xml:space="preserve">Utilidade: O jogo complementa as ações educativas que eu já realizo ou conheço.</t>
  </si>
  <si>
    <t xml:space="preserve">Utilidade: O plano de aula e as atividades facilitam a aplicação com uma turma.</t>
  </si>
  <si>
    <t xml:space="preserve">Utilidade: O Modo Professor ajuda a acompanhar as decisões e a aprendizagem.</t>
  </si>
  <si>
    <t xml:space="preserve">Validação de conteúdo (I-CVI)</t>
  </si>
  <si>
    <t xml:space="preserve">Dimensão</t>
  </si>
  <si>
    <t xml:space="preserve">S-CVI/Ave (média dos I-CVI)</t>
  </si>
  <si>
    <t xml:space="preserve">Itens a revisar</t>
  </si>
  <si>
    <t xml:space="preserve">Itens avaliados</t>
  </si>
  <si>
    <t xml:space="preserve">A. Precisão técnica dos conceitos</t>
  </si>
  <si>
    <t xml:space="preserve">B. Protocolo de autoproteção</t>
  </si>
  <si>
    <t xml:space="preserve">C. Cenários e situações do jogo</t>
  </si>
  <si>
    <t xml:space="preserve">D. Linguagem e mensagens</t>
  </si>
  <si>
    <t xml:space="preserve">E. Adequação pedagógica</t>
  </si>
  <si>
    <t xml:space="preserve">F. Aplicabilidade e inclusão</t>
  </si>
  <si>
    <t xml:space="preserve">Geral (todos os itens)</t>
  </si>
  <si>
    <t xml:space="preserve">Referência do S-CVI/Ave: 0,90 ou mais (Polit; Beck, 2006). Referência do I-CVI: 1,00 com até 5 especialistas; 0,78 ou mais com 6 ou mais (Lynn, 1986).</t>
  </si>
  <si>
    <t xml:space="preserve">Observações técnicas por tipo e gravidade</t>
  </si>
  <si>
    <t xml:space="preserve">Tipo</t>
  </si>
  <si>
    <t xml:space="preserve">Baixa</t>
  </si>
  <si>
    <t xml:space="preserve">Alta</t>
  </si>
  <si>
    <t xml:space="preserve">Conceito</t>
  </si>
  <si>
    <t xml:space="preserve">Terminologia</t>
  </si>
  <si>
    <t xml:space="preserve">Protocolo</t>
  </si>
  <si>
    <t xml:space="preserve">Realismo</t>
  </si>
  <si>
    <t xml:space="preserve">Linguagem</t>
  </si>
  <si>
    <t xml:space="preserve">Técnico (erro ou falha)</t>
  </si>
  <si>
    <t xml:space="preserve">Acessibilidade</t>
  </si>
  <si>
    <t xml:space="preserve">Respostas dos participantes</t>
  </si>
  <si>
    <t xml:space="preserve">Digite apenas nas células amarelas, uma linha por participante. A linha cinza é um exemplo e não entra nos cálculos.</t>
  </si>
  <si>
    <t xml:space="preserve">Confiança (1 a 5)</t>
  </si>
  <si>
    <t xml:space="preserve">Experiência com o jogo (1 a 5)</t>
  </si>
  <si>
    <t xml:space="preserve">Intenção de uso (1 a 5)</t>
  </si>
  <si>
    <t xml:space="preserve">Utilidade (1 a 5)</t>
  </si>
  <si>
    <t xml:space="preserve">Código</t>
  </si>
  <si>
    <t xml:space="preserve">Atuação</t>
  </si>
  <si>
    <t xml:space="preserve">Vínculo</t>
  </si>
  <si>
    <t xml:space="preserve">Tempo de atuação</t>
  </si>
  <si>
    <t xml:space="preserve">Já atuou em escolas?</t>
  </si>
  <si>
    <t xml:space="preserve">Já usou jogos digitais?</t>
  </si>
  <si>
    <t xml:space="preserve">Pré 1</t>
  </si>
  <si>
    <t xml:space="preserve">Pré 2</t>
  </si>
  <si>
    <t xml:space="preserve">Pré 3</t>
  </si>
  <si>
    <t xml:space="preserve">Pré 4</t>
  </si>
  <si>
    <t xml:space="preserve">Pré 5</t>
  </si>
  <si>
    <t xml:space="preserve">Pós 1</t>
  </si>
  <si>
    <t xml:space="preserve">Pós 2</t>
  </si>
  <si>
    <t xml:space="preserve">Pós 3</t>
  </si>
  <si>
    <t xml:space="preserve">Pós 4</t>
  </si>
  <si>
    <t xml:space="preserve">Pós 5</t>
  </si>
  <si>
    <t xml:space="preserve">Exp 1</t>
  </si>
  <si>
    <t xml:space="preserve">Exp 2</t>
  </si>
  <si>
    <t xml:space="preserve">Exp 3</t>
  </si>
  <si>
    <t xml:space="preserve">Exp 4</t>
  </si>
  <si>
    <t xml:space="preserve">Exp 5</t>
  </si>
  <si>
    <t xml:space="preserve">Exp 6</t>
  </si>
  <si>
    <t xml:space="preserve">Exp 7</t>
  </si>
  <si>
    <t xml:space="preserve">Exp 8</t>
  </si>
  <si>
    <t xml:space="preserve">Exp 9</t>
  </si>
  <si>
    <t xml:space="preserve">Exp 10</t>
  </si>
  <si>
    <t xml:space="preserve">Int 1</t>
  </si>
  <si>
    <t xml:space="preserve">Int 2</t>
  </si>
  <si>
    <t xml:space="preserve">Int 3</t>
  </si>
  <si>
    <t xml:space="preserve">Util 1</t>
  </si>
  <si>
    <t xml:space="preserve">Util 2</t>
  </si>
  <si>
    <t xml:space="preserve">Util 3</t>
  </si>
  <si>
    <t xml:space="preserve">EX</t>
  </si>
  <si>
    <t xml:space="preserve">Agente de defesa civil</t>
  </si>
  <si>
    <t xml:space="preserve">Municipal</t>
  </si>
  <si>
    <t xml:space="preserve">6 a 10 anos</t>
  </si>
  <si>
    <t xml:space="preserve">Sim</t>
  </si>
  <si>
    <t xml:space="preserve">Não</t>
  </si>
  <si>
    <t xml:space="preserve">Validação de conteúdo por especialistas (I-CVI)</t>
  </si>
  <si>
    <t xml:space="preserve">Digite as notas de 1 a 4 nas colunas E1 a E20 (um especialista por coluna). Deixe em branco o item que o especialista não avaliou.</t>
  </si>
  <si>
    <t xml:space="preserve">Texto do item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</si>
  <si>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</si>
  <si>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</si>
  <si>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</si>
  <si>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</si>
  <si>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</si>
  <si>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</si>
  <si>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</si>
  <si>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</si>
  <si>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</si>
  <si>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</si>
  <si>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</si>
  <si>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</si>
  <si>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</si>
  <si>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</si>
  <si>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</si>
  <si>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</si>
  <si>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</si>
  <si>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</si>
  <si>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</si>
  <si>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</si>
  <si>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Nº de avaliações</t>
  </si>
  <si>
    <t xml:space="preserve">Nº com nota 3 ou 4</t>
  </si>
  <si>
    <t xml:space="preserve">Média das notas</t>
  </si>
  <si>
    <t xml:space="preserve">Situação</t>
  </si>
  <si>
    <t xml:space="preserve">A1</t>
  </si>
  <si>
    <t xml:space="preserve">Precisão técnica dos conceitos</t>
  </si>
  <si>
    <t xml:space="preserve">A definição e a diferenciação de alagamento, enxurrada, enchente (inundação) e deslizamento estão corretas.</t>
  </si>
  <si>
    <t xml:space="preserve">A2</t>
  </si>
  <si>
    <t xml:space="preserve">A explicação de infiltração, escoamento superficial e microdrenagem está correta e adequada ao público.</t>
  </si>
  <si>
    <t xml:space="preserve">A3</t>
  </si>
  <si>
    <t xml:space="preserve">Os termos técnicos (boca de lobo, poço de visita, tampão, galeria de águas pluviais, cota do rio, talude) estão usados corretamente, com o nome popular indicado.</t>
  </si>
  <si>
    <t xml:space="preserve">A4</t>
  </si>
  <si>
    <t xml:space="preserve">Os sinais de alerta (rachaduras, árvore ou poste inclinado, estalos, subida do rio) estão corretos.</t>
  </si>
  <si>
    <t xml:space="preserve">B1</t>
  </si>
  <si>
    <t xml:space="preserve">Protocolo de autoproteção</t>
  </si>
  <si>
    <t xml:space="preserve">A sequência proteja-se, avise a Defesa Civil (199) e aja com segurança é adequada ao público-alvo.</t>
  </si>
  <si>
    <t xml:space="preserve">B2</t>
  </si>
  <si>
    <t xml:space="preserve">As orientações sobre energia elétrica (desligar o disjuntor antes de a água atingir as tomadas) estão corretas.</t>
  </si>
  <si>
    <t xml:space="preserve">B3</t>
  </si>
  <si>
    <t xml:space="preserve">As orientações de não entrar na água, não voltar para buscar objetos e evacuar cedo estão corretas.</t>
  </si>
  <si>
    <t xml:space="preserve">B4</t>
  </si>
  <si>
    <t xml:space="preserve">A mochila de emergência e o Cartão de Emergência trazem itens e orientações adequados.</t>
  </si>
  <si>
    <t xml:space="preserve">B5</t>
  </si>
  <si>
    <t xml:space="preserve">Os números de telefone citados (199, 193, 192 e 190) e as menções a alertas estão corretos ou são adaptáveis ao município.</t>
  </si>
  <si>
    <t xml:space="preserve">C1</t>
  </si>
  <si>
    <t xml:space="preserve">Cenários e situações do jogo</t>
  </si>
  <si>
    <t xml:space="preserve">A fase de alagamento representa de forma realista a situação e as decisões possíveis.</t>
  </si>
  <si>
    <t xml:space="preserve">C2</t>
  </si>
  <si>
    <t xml:space="preserve">A fase de enxurrada representa de forma realista o perigo da correnteza e a rota segura.</t>
  </si>
  <si>
    <t xml:space="preserve">C3</t>
  </si>
  <si>
    <t xml:space="preserve">A fase de enchente representa de forma realista a subida do rio e o tempo disponível para agir.</t>
  </si>
  <si>
    <t xml:space="preserve">C4</t>
  </si>
  <si>
    <t xml:space="preserve">A fase de deslizamento representa de forma realista os sinais, a evacuação e o perigo do talude.</t>
  </si>
  <si>
    <t xml:space="preserve">C5</t>
  </si>
  <si>
    <t xml:space="preserve">Os perigos físicos do jogo (poço de visita sem tampão, correnteza e talude) transmitem a mensagem correta.</t>
  </si>
  <si>
    <t xml:space="preserve">D1</t>
  </si>
  <si>
    <t xml:space="preserve">Linguagem e mensagens</t>
  </si>
  <si>
    <t xml:space="preserve">A linguagem é clara e adequada a estudantes do 6º ao 9º ano.</t>
  </si>
  <si>
    <t xml:space="preserve">D2</t>
  </si>
  <si>
    <t xml:space="preserve">As afirmações de mito ou verdade e as explicações são corretas e úteis.</t>
  </si>
  <si>
    <t xml:space="preserve">D3</t>
  </si>
  <si>
    <t xml:space="preserve">As mensagens de erro (game over) explicam sem culpar e sem causar medo excessivo.</t>
  </si>
  <si>
    <t xml:space="preserve">D4</t>
  </si>
  <si>
    <t xml:space="preserve">O quiz e o glossário são corretos e coerentes com o conteúdo do jogo.</t>
  </si>
  <si>
    <t xml:space="preserve">Adequação pedagógica</t>
  </si>
  <si>
    <t xml:space="preserve">Os objetivos de aprendizagem são claros e coerentes com a educação para redução de riscos.</t>
  </si>
  <si>
    <t xml:space="preserve">A pressão de tempo (relógio) é adequada e o modo sem relógio é uma alternativa útil.</t>
  </si>
  <si>
    <t xml:space="preserve">O jogo pode ser integrado a ações educativas existentes (palestras, oficinas, semana de prevenção).</t>
  </si>
  <si>
    <t xml:space="preserve">F1</t>
  </si>
  <si>
    <t xml:space="preserve">Aplicabilidade e inclusão</t>
  </si>
  <si>
    <t xml:space="preserve">O plano de aula e as atividades são viáveis em escolas públicas.</t>
  </si>
  <si>
    <t xml:space="preserve">F2</t>
  </si>
  <si>
    <t xml:space="preserve">O jogo funciona bem com poucos aparelhos e em ambientes com poucos recursos.</t>
  </si>
  <si>
    <t xml:space="preserve">F3</t>
  </si>
  <si>
    <t xml:space="preserve">As opções de acessibilidade (modo calmo, som e alto contraste) são adequadas.</t>
  </si>
  <si>
    <t xml:space="preserve">Observações técnicas (durante o jogo)</t>
  </si>
  <si>
    <t xml:space="preserve">Uma linha por observação. A linha cinza é um exemplo e não entra nos cálculos.</t>
  </si>
  <si>
    <t xml:space="preserve">Nº</t>
  </si>
  <si>
    <t xml:space="preserve">Participante ou dupla</t>
  </si>
  <si>
    <t xml:space="preserve">Fase ou tela</t>
  </si>
  <si>
    <t xml:space="preserve">O que observou</t>
  </si>
  <si>
    <t xml:space="preserve">Gravidade</t>
  </si>
  <si>
    <t xml:space="preserve">Sugestão</t>
  </si>
  <si>
    <t xml:space="preserve">Decisão</t>
  </si>
  <si>
    <t xml:space="preserve">P03</t>
  </si>
  <si>
    <t xml:space="preserve">Fase 1</t>
  </si>
  <si>
    <t xml:space="preserve">Exemplo: o texto do glossário poderia citar também o termo "galeria de águas pluviais".</t>
  </si>
  <si>
    <t xml:space="preserve">Incluir o termo no glossário.</t>
  </si>
  <si>
    <t xml:space="preserve">Ajustar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</si>
</sst>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B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77777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AF4FB"/>
        <bgColor rgb="FFF0F0F0"/>
      </patternFill>
    </fill>
    <fill>
      <patternFill patternType="solid">
        <fgColor rgb="FFFFF7D6"/>
        <bgColor rgb="FFF0F0F0"/>
      </patternFill>
    </fill>
    <fill>
      <patternFill patternType="solid">
        <fgColor rgb="FF0F1B2E"/>
        <bgColor rgb="FF000000"/>
      </patternFill>
    </fill>
    <fill>
      <patternFill patternType="solid">
        <fgColor rgb="FFF0F0F0"/>
        <bgColor rgb="FFEA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4"/>
      </left>
      <right style="thin">
        <color rgb="FFC9D6E4"/>
      </right>
      <top style="thin">
        <color rgb="FFC9D6E4"/>
      </top>
      <bottom style="thin">
        <color rgb="FFC9D6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7D6"/>
      <rgbColor rgb="FFEAF4FB"/>
      <rgbColor rgb="FF660066"/>
      <rgbColor rgb="FFFF8080"/>
      <rgbColor rgb="FF0066CC"/>
      <rgbColor rgb="FFC9D6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77777"/>
      <rgbColor rgb="FF969696"/>
      <rgbColor rgb="FF003366"/>
      <rgbColor rgb="FF339966"/>
      <rgbColor rgb="FF0F1B2E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Confiança: média pré e pós (1 a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Resumo!B7</c:f>
              <c:strCache>
                <c:ptCount val="1"/>
                <c:pt idx="0">
                  <c:v>Média pré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Resumo!$A$8:$A$12</c:f>
              <c:strCache>
                <c:ptCount val="5"/>
                <c:pt idx="0">
                  <c:v>Item 1: Sei explicar a estudantes do ensino fundamental a diferença entre alagamento, enxurrada, enchente e deslizamento.</c:v>
                </c:pt>
                <c:pt idx="1">
                  <c:v>Item 2: Sei como um jogo digital pode ser usado em uma ação educativa sobre riscos de desastres.</c:v>
                </c:pt>
                <c:pt idx="2">
                  <c:v>Item 3: Consigo planejar uma atividade com o HIDRO em parceria com uma escola.</c:v>
                </c:pt>
                <c:pt idx="3">
                  <c:v>Item 4: Sei adaptar uma atividade educativa para estudantes autistas ou com altas habilidades.</c:v>
                </c:pt>
                <c:pt idx="4">
                  <c:v>Item 5: Sei como avaliar se uma ação educativa com jogo foi efetiva.</c:v>
                </c:pt>
              </c:strCache>
            </c:strRef>
          </c:cat>
          <c:val>
            <c:numRef>
              <c:f>Resumo!$B$8:$B$12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Resumo!C7</c:f>
              <c:strCache>
                <c:ptCount val="1"/>
                <c:pt idx="0">
                  <c:v>Média pós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Resumo!$A$8:$A$12</c:f>
              <c:strCache>
                <c:ptCount val="5"/>
                <c:pt idx="0">
                  <c:v>Item 1: Sei explicar a estudantes do ensino fundamental a diferença entre alagamento, enxurrada, enchente e deslizamento.</c:v>
                </c:pt>
                <c:pt idx="1">
                  <c:v>Item 2: Sei como um jogo digital pode ser usado em uma ação educativa sobre riscos de desastres.</c:v>
                </c:pt>
                <c:pt idx="2">
                  <c:v>Item 3: Consigo planejar uma atividade com o HIDRO em parceria com uma escola.</c:v>
                </c:pt>
                <c:pt idx="3">
                  <c:v>Item 4: Sei adaptar uma atividade educativa para estudantes autistas ou com altas habilidades.</c:v>
                </c:pt>
                <c:pt idx="4">
                  <c:v>Item 5: Sei como avaliar se uma ação educativa com jogo foi efetiva.</c:v>
                </c:pt>
              </c:strCache>
            </c:strRef>
          </c:cat>
          <c:val>
            <c:numRef>
              <c:f>Resumo!$C$8:$C$12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29192432"/>
        <c:axId val="90670974"/>
      </c:barChart>
      <c:catAx>
        <c:axId val="2919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70974"/>
        <c:crosses val="autoZero"/>
        <c:auto val="1"/>
        <c:lblAlgn val="ctr"/>
        <c:lblOffset val="100"/>
        <c:noMultiLvlLbl val="0"/>
      </c:catAx>
      <c:valAx>
        <c:axId val="90670974"/>
        <c:scaling>
          <c:orientation val="minMax"/>
          <c:max val="5"/>
          <c:min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Média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924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I-CVI por item (referência: 0,78)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Validacao_IVC!Z4</c:f>
              <c:strCache>
                <c:ptCount val="1"/>
                <c:pt idx="0">
                  <c:v>I-CVI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Validacao_IVC!$A$5:$A$28</c:f>
              <c:strCache>
                <c:ptCount val="2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B1</c:v>
                </c:pt>
                <c:pt idx="5">
                  <c:v>B2</c:v>
                </c:pt>
                <c:pt idx="6">
                  <c:v>B3</c:v>
                </c:pt>
                <c:pt idx="7">
                  <c:v>B4</c:v>
                </c:pt>
                <c:pt idx="8">
                  <c:v>B5</c:v>
                </c:pt>
                <c:pt idx="9">
                  <c:v>C1</c:v>
                </c:pt>
                <c:pt idx="10">
                  <c:v>C2</c:v>
                </c:pt>
                <c:pt idx="11">
                  <c:v>C3</c:v>
                </c:pt>
                <c:pt idx="12">
                  <c:v>C4</c:v>
                </c:pt>
                <c:pt idx="13">
                  <c:v>C5</c:v>
                </c:pt>
                <c:pt idx="14">
                  <c:v>D1</c:v>
                </c:pt>
                <c:pt idx="15">
                  <c:v>D2</c:v>
                </c:pt>
                <c:pt idx="16">
                  <c:v>D3</c:v>
                </c:pt>
                <c:pt idx="17">
                  <c:v>D4</c:v>
                </c:pt>
                <c:pt idx="18">
                  <c:v>E1</c:v>
                </c:pt>
                <c:pt idx="19">
                  <c:v>E2</c:v>
                </c:pt>
                <c:pt idx="20">
                  <c:v>E3</c:v>
                </c:pt>
                <c:pt idx="21">
                  <c:v>F1</c:v>
                </c:pt>
                <c:pt idx="22">
                  <c:v>F2</c:v>
                </c:pt>
                <c:pt idx="23">
                  <c:v>F3</c:v>
                </c:pt>
              </c:strCache>
            </c:strRef>
          </c:cat>
          <c:val>
            <c:numRef>
              <c:f>Validacao_IVC!$Z$5:$Z$28</c:f>
              <c:numCache>
                <c:formatCode>General</c:formatCode>
                <c:ptCount val="24"/>
              </c:numCache>
            </c:numRef>
          </c:val>
        </c:ser>
        <c:gapWidth val="150"/>
        <c:overlap val="0"/>
        <c:axId val="50320611"/>
        <c:axId val="72356515"/>
      </c:barChart>
      <c:catAx>
        <c:axId val="503206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56515"/>
        <c:crosses val="autoZero"/>
        <c:auto val="1"/>
        <c:lblAlgn val="ctr"/>
        <c:lblOffset val="100"/>
        <c:noMultiLvlLbl val="0"/>
      </c:catAx>
      <c:valAx>
        <c:axId val="7235651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206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160560</xdr:rowOff>
    </xdr:from>
    <xdr:to>
      <xdr:col>15</xdr:col>
      <xdr:colOff>364680</xdr:colOff>
      <xdr:row>11</xdr:row>
      <xdr:rowOff>221040</xdr:rowOff>
    </xdr:to>
    <xdr:graphicFrame>
      <xdr:nvGraphicFramePr>
        <xdr:cNvPr id="0" name="Chart 1"/>
        <xdr:cNvGraphicFramePr/>
      </xdr:nvGraphicFramePr>
      <xdr:xfrm>
        <a:off x="10338480" y="952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351360</xdr:rowOff>
    </xdr:from>
    <xdr:to>
      <xdr:col>15</xdr:col>
      <xdr:colOff>364680</xdr:colOff>
      <xdr:row>37</xdr:row>
      <xdr:rowOff>361800</xdr:rowOff>
    </xdr:to>
    <xdr:graphicFrame>
      <xdr:nvGraphicFramePr>
        <xdr:cNvPr id="1" name="Chart 2"/>
        <xdr:cNvGraphicFramePr/>
      </xdr:nvGraphicFramePr>
      <xdr:xfrm>
        <a:off x="10338480" y="781056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51" hidden="false" customHeight="true" outlineLevel="0" collapsed="false">
      <c r="A3" s="2" t="s">
        <v>1</v>
      </c>
      <c r="B3" s="3" t="s">
        <v>2</v>
      </c>
    </row>
    <row r="4" customFormat="false" ht="66" hidden="false" customHeight="true" outlineLevel="0" collapsed="false">
      <c r="A4" s="2" t="s">
        <v>3</v>
      </c>
      <c r="B4" s="3" t="s">
        <v>4</v>
      </c>
    </row>
    <row r="5" customFormat="false" ht="36" hidden="false" customHeight="true" outlineLevel="0" collapsed="false">
      <c r="A5" s="2" t="s">
        <v>5</v>
      </c>
      <c r="B5" s="3" t="s">
        <v>6</v>
      </c>
    </row>
    <row r="6" customFormat="false" ht="51" hidden="false" customHeight="true" outlineLevel="0" collapsed="false">
      <c r="A6" s="2" t="s">
        <v>7</v>
      </c>
      <c r="B6" s="3" t="s">
        <v>8</v>
      </c>
    </row>
    <row r="7" customFormat="false" ht="36" hidden="false" customHeight="true" outlineLevel="0" collapsed="false">
      <c r="A7" s="2" t="s">
        <v>9</v>
      </c>
      <c r="B7" s="3" t="s">
        <v>10</v>
      </c>
    </row>
    <row r="8" customFormat="false" ht="51" hidden="false" customHeight="true" outlineLevel="0" collapsed="false">
      <c r="A8" s="2" t="s">
        <v>11</v>
      </c>
      <c r="B8" s="3" t="s">
        <v>12</v>
      </c>
    </row>
    <row r="9" customFormat="false" ht="36" hidden="false" customHeight="true" outlineLevel="0" collapsed="false">
      <c r="A9" s="2" t="s">
        <v>13</v>
      </c>
      <c r="B9" s="3" t="s">
        <v>14</v>
      </c>
    </row>
    <row r="10" customFormat="false" ht="36" hidden="false" customHeight="true" outlineLevel="0" collapsed="false">
      <c r="A10" s="2" t="s">
        <v>15</v>
      </c>
      <c r="B10" s="3" t="s">
        <v>16</v>
      </c>
    </row>
    <row r="11" customFormat="false" ht="51" hidden="false" customHeight="true" outlineLevel="0" collapsed="false">
      <c r="A11" s="2" t="s">
        <v>17</v>
      </c>
      <c r="B11" s="3" t="s">
        <v>18</v>
      </c>
    </row>
    <row r="13" customFormat="false" ht="15" hidden="false" customHeight="false" outlineLevel="0" collapsed="false">
      <c r="A13" s="4" t="s">
        <v>19</v>
      </c>
    </row>
    <row r="14" customFormat="false" ht="15" hidden="false" customHeight="false" outlineLevel="0" collapsed="false">
      <c r="A14" s="5" t="s">
        <v>20</v>
      </c>
      <c r="B14" s="6" t="s">
        <v>21</v>
      </c>
    </row>
    <row r="15" customFormat="false" ht="15" hidden="false" customHeight="false" outlineLevel="0" collapsed="false">
      <c r="A15" s="7" t="s">
        <v>22</v>
      </c>
      <c r="B15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8" t="s">
        <v>25</v>
      </c>
    </row>
    <row r="4" customFormat="false" ht="15" hidden="false" customHeight="false" outlineLevel="0" collapsed="false">
      <c r="A4" s="4" t="s">
        <v>26</v>
      </c>
      <c r="B4" s="6" t="n">
        <f aca="false">COUNTA(Participantes!A7:A56)</f>
        <v>0</v>
      </c>
    </row>
    <row r="6" customFormat="false" ht="15" hidden="false" customHeight="false" outlineLevel="0" collapsed="false">
      <c r="A6" s="4" t="s">
        <v>27</v>
      </c>
    </row>
    <row r="7" customFormat="false" ht="24" hidden="false" customHeight="true" outlineLevel="0" collapsed="false">
      <c r="A7" s="9" t="s">
        <v>28</v>
      </c>
      <c r="B7" s="9" t="s">
        <v>29</v>
      </c>
      <c r="C7" s="9" t="s">
        <v>30</v>
      </c>
      <c r="D7" s="9" t="s">
        <v>31</v>
      </c>
    </row>
    <row r="8" customFormat="false" ht="42" hidden="false" customHeight="true" outlineLevel="0" collapsed="false">
      <c r="A8" s="10" t="s">
        <v>32</v>
      </c>
      <c r="B8" s="11" t="str">
        <f aca="false">IFERROR(AVERAGE(Participantes!G7:G56),"")</f>
        <v/>
      </c>
      <c r="C8" s="11" t="str">
        <f aca="false">IFERROR(AVERAGE(Participantes!L7:L56),"")</f>
        <v/>
      </c>
      <c r="D8" s="11" t="str">
        <f aca="false">IF(OR(B8="",C8=""),"",C8-B8)</f>
        <v/>
      </c>
    </row>
    <row r="9" customFormat="false" ht="42" hidden="false" customHeight="true" outlineLevel="0" collapsed="false">
      <c r="A9" s="10" t="s">
        <v>33</v>
      </c>
      <c r="B9" s="11" t="str">
        <f aca="false">IFERROR(AVERAGE(Participantes!H7:H56),"")</f>
        <v/>
      </c>
      <c r="C9" s="11" t="str">
        <f aca="false">IFERROR(AVERAGE(Participantes!M7:M56),"")</f>
        <v/>
      </c>
      <c r="D9" s="11" t="str">
        <f aca="false">IF(OR(B9="",C9=""),"",C9-B9)</f>
        <v/>
      </c>
    </row>
    <row r="10" customFormat="false" ht="42" hidden="false" customHeight="true" outlineLevel="0" collapsed="false">
      <c r="A10" s="10" t="s">
        <v>34</v>
      </c>
      <c r="B10" s="11" t="str">
        <f aca="false">IFERROR(AVERAGE(Participantes!I7:I56),"")</f>
        <v/>
      </c>
      <c r="C10" s="11" t="str">
        <f aca="false">IFERROR(AVERAGE(Participantes!N7:N56),"")</f>
        <v/>
      </c>
      <c r="D10" s="11" t="str">
        <f aca="false">IF(OR(B10="",C10=""),"",C10-B10)</f>
        <v/>
      </c>
    </row>
    <row r="11" customFormat="false" ht="42" hidden="false" customHeight="true" outlineLevel="0" collapsed="false">
      <c r="A11" s="10" t="s">
        <v>35</v>
      </c>
      <c r="B11" s="11" t="str">
        <f aca="false">IFERROR(AVERAGE(Participantes!J7:J56),"")</f>
        <v/>
      </c>
      <c r="C11" s="11" t="str">
        <f aca="false">IFERROR(AVERAGE(Participantes!O7:O56),"")</f>
        <v/>
      </c>
      <c r="D11" s="11" t="str">
        <f aca="false">IF(OR(B11="",C11=""),"",C11-B11)</f>
        <v/>
      </c>
    </row>
    <row r="12" customFormat="false" ht="42" hidden="false" customHeight="true" outlineLevel="0" collapsed="false">
      <c r="A12" s="10" t="s">
        <v>36</v>
      </c>
      <c r="B12" s="11" t="str">
        <f aca="false">IFERROR(AVERAGE(Participantes!K7:K56),"")</f>
        <v/>
      </c>
      <c r="C12" s="11" t="str">
        <f aca="false">IFERROR(AVERAGE(Participantes!P7:P56),"")</f>
        <v/>
      </c>
      <c r="D12" s="11" t="str">
        <f aca="false">IF(OR(B12="",C12=""),"",C12-B12)</f>
        <v/>
      </c>
    </row>
    <row r="13" customFormat="false" ht="15" hidden="false" customHeight="false" outlineLevel="0" collapsed="false">
      <c r="A13" s="4" t="s">
        <v>37</v>
      </c>
      <c r="B13" s="12" t="str">
        <f aca="false">IFERROR(AVERAGE(B8:B12),"")</f>
        <v/>
      </c>
      <c r="C13" s="12" t="str">
        <f aca="false">IFERROR(AVERAGE(C8:C12),"")</f>
        <v/>
      </c>
      <c r="D13" s="12" t="str">
        <f aca="false">IF(OR(B13="",C13=""),"",C13-B13)</f>
        <v/>
      </c>
    </row>
    <row r="15" customFormat="false" ht="15" hidden="false" customHeight="false" outlineLevel="0" collapsed="false">
      <c r="A15" s="4" t="s">
        <v>38</v>
      </c>
    </row>
    <row r="16" customFormat="false" ht="36" hidden="false" customHeight="true" outlineLevel="0" collapsed="false">
      <c r="A16" s="9" t="s">
        <v>28</v>
      </c>
      <c r="B16" s="9" t="s">
        <v>39</v>
      </c>
      <c r="C16" s="9" t="s">
        <v>40</v>
      </c>
      <c r="D16" s="9" t="s">
        <v>41</v>
      </c>
    </row>
    <row r="17" customFormat="false" ht="30" hidden="false" customHeight="true" outlineLevel="0" collapsed="false">
      <c r="A17" s="10" t="s">
        <v>42</v>
      </c>
      <c r="B17" s="11" t="str">
        <f aca="false">IFERROR(AVERAGE(Participantes!Q7:Q56),"")</f>
        <v/>
      </c>
      <c r="C17" s="13" t="str">
        <f aca="false">IFERROR(COUNTIF(Participantes!Q7:Q56,"&gt;=4")/COUNT(Participantes!Q7:Q56),"")</f>
        <v/>
      </c>
      <c r="D17" s="14" t="n">
        <f aca="false">COUNT(Participantes!Q7:Q56)</f>
        <v>0</v>
      </c>
    </row>
    <row r="18" customFormat="false" ht="30" hidden="false" customHeight="true" outlineLevel="0" collapsed="false">
      <c r="A18" s="10" t="s">
        <v>43</v>
      </c>
      <c r="B18" s="11" t="str">
        <f aca="false">IFERROR(AVERAGE(Participantes!R7:R56),"")</f>
        <v/>
      </c>
      <c r="C18" s="13" t="str">
        <f aca="false">IFERROR(COUNTIF(Participantes!R7:R56,"&gt;=4")/COUNT(Participantes!R7:R56),"")</f>
        <v/>
      </c>
      <c r="D18" s="14" t="n">
        <f aca="false">COUNT(Participantes!R7:R56)</f>
        <v>0</v>
      </c>
    </row>
    <row r="19" customFormat="false" ht="30" hidden="false" customHeight="true" outlineLevel="0" collapsed="false">
      <c r="A19" s="10" t="s">
        <v>44</v>
      </c>
      <c r="B19" s="11" t="str">
        <f aca="false">IFERROR(AVERAGE(Participantes!S7:S56),"")</f>
        <v/>
      </c>
      <c r="C19" s="13" t="str">
        <f aca="false">IFERROR(COUNTIF(Participantes!S7:S56,"&gt;=4")/COUNT(Participantes!S7:S56),"")</f>
        <v/>
      </c>
      <c r="D19" s="14" t="n">
        <f aca="false">COUNT(Participantes!S7:S56)</f>
        <v>0</v>
      </c>
    </row>
    <row r="20" customFormat="false" ht="30" hidden="false" customHeight="true" outlineLevel="0" collapsed="false">
      <c r="A20" s="10" t="s">
        <v>45</v>
      </c>
      <c r="B20" s="11" t="str">
        <f aca="false">IFERROR(AVERAGE(Participantes!T7:T56),"")</f>
        <v/>
      </c>
      <c r="C20" s="13" t="str">
        <f aca="false">IFERROR(COUNTIF(Participantes!T7:T56,"&gt;=4")/COUNT(Participantes!T7:T56),"")</f>
        <v/>
      </c>
      <c r="D20" s="14" t="n">
        <f aca="false">COUNT(Participantes!T7:T56)</f>
        <v>0</v>
      </c>
    </row>
    <row r="21" customFormat="false" ht="30" hidden="false" customHeight="true" outlineLevel="0" collapsed="false">
      <c r="A21" s="10" t="s">
        <v>46</v>
      </c>
      <c r="B21" s="11" t="str">
        <f aca="false">IFERROR(AVERAGE(Participantes!U7:U56),"")</f>
        <v/>
      </c>
      <c r="C21" s="13" t="str">
        <f aca="false">IFERROR(COUNTIF(Participantes!U7:U56,"&gt;=4")/COUNT(Participantes!U7:U56),"")</f>
        <v/>
      </c>
      <c r="D21" s="14" t="n">
        <f aca="false">COUNT(Participantes!U7:U56)</f>
        <v>0</v>
      </c>
    </row>
    <row r="22" customFormat="false" ht="30" hidden="false" customHeight="true" outlineLevel="0" collapsed="false">
      <c r="A22" s="10" t="s">
        <v>47</v>
      </c>
      <c r="B22" s="11" t="str">
        <f aca="false">IFERROR(AVERAGE(Participantes!V7:V56),"")</f>
        <v/>
      </c>
      <c r="C22" s="13" t="str">
        <f aca="false">IFERROR(COUNTIF(Participantes!V7:V56,"&gt;=4")/COUNT(Participantes!V7:V56),"")</f>
        <v/>
      </c>
      <c r="D22" s="14" t="n">
        <f aca="false">COUNT(Participantes!V7:V56)</f>
        <v>0</v>
      </c>
    </row>
    <row r="23" customFormat="false" ht="30" hidden="false" customHeight="true" outlineLevel="0" collapsed="false">
      <c r="A23" s="10" t="s">
        <v>48</v>
      </c>
      <c r="B23" s="11" t="str">
        <f aca="false">IFERROR(AVERAGE(Participantes!W7:W56),"")</f>
        <v/>
      </c>
      <c r="C23" s="13" t="str">
        <f aca="false">IFERROR(COUNTIF(Participantes!W7:W56,"&gt;=4")/COUNT(Participantes!W7:W56),"")</f>
        <v/>
      </c>
      <c r="D23" s="14" t="n">
        <f aca="false">COUNT(Participantes!W7:W56)</f>
        <v>0</v>
      </c>
    </row>
    <row r="24" customFormat="false" ht="30" hidden="false" customHeight="true" outlineLevel="0" collapsed="false">
      <c r="A24" s="10" t="s">
        <v>49</v>
      </c>
      <c r="B24" s="11" t="str">
        <f aca="false">IFERROR(AVERAGE(Participantes!X7:X56),"")</f>
        <v/>
      </c>
      <c r="C24" s="13" t="str">
        <f aca="false">IFERROR(COUNTIF(Participantes!X7:X56,"&gt;=4")/COUNT(Participantes!X7:X56),"")</f>
        <v/>
      </c>
      <c r="D24" s="14" t="n">
        <f aca="false">COUNT(Participantes!X7:X56)</f>
        <v>0</v>
      </c>
    </row>
    <row r="25" customFormat="false" ht="30" hidden="false" customHeight="true" outlineLevel="0" collapsed="false">
      <c r="A25" s="10" t="s">
        <v>50</v>
      </c>
      <c r="B25" s="11" t="str">
        <f aca="false">IFERROR(AVERAGE(Participantes!Y7:Y56),"")</f>
        <v/>
      </c>
      <c r="C25" s="13" t="str">
        <f aca="false">IFERROR(COUNTIF(Participantes!Y7:Y56,"&gt;=4")/COUNT(Participantes!Y7:Y56),"")</f>
        <v/>
      </c>
      <c r="D25" s="14" t="n">
        <f aca="false">COUNT(Participantes!Y7:Y56)</f>
        <v>0</v>
      </c>
    </row>
    <row r="26" customFormat="false" ht="30" hidden="false" customHeight="true" outlineLevel="0" collapsed="false">
      <c r="A26" s="10" t="s">
        <v>51</v>
      </c>
      <c r="B26" s="11" t="str">
        <f aca="false">IFERROR(AVERAGE(Participantes!Z7:Z56),"")</f>
        <v/>
      </c>
      <c r="C26" s="13" t="str">
        <f aca="false">IFERROR(COUNTIF(Participantes!Z7:Z56,"&gt;=4")/COUNT(Participantes!Z7:Z56),"")</f>
        <v/>
      </c>
      <c r="D26" s="14" t="n">
        <f aca="false">COUNT(Participantes!Z7:Z56)</f>
        <v>0</v>
      </c>
    </row>
    <row r="28" customFormat="false" ht="15" hidden="false" customHeight="false" outlineLevel="0" collapsed="false">
      <c r="A28" s="4" t="s">
        <v>52</v>
      </c>
    </row>
    <row r="29" customFormat="false" ht="36" hidden="false" customHeight="true" outlineLevel="0" collapsed="false">
      <c r="A29" s="9" t="s">
        <v>28</v>
      </c>
      <c r="B29" s="9" t="s">
        <v>39</v>
      </c>
      <c r="C29" s="9" t="s">
        <v>40</v>
      </c>
      <c r="D29" s="9" t="s">
        <v>41</v>
      </c>
    </row>
    <row r="30" customFormat="false" ht="30" hidden="false" customHeight="true" outlineLevel="0" collapsed="false">
      <c r="A30" s="10" t="s">
        <v>53</v>
      </c>
      <c r="B30" s="11" t="str">
        <f aca="false">IFERROR(AVERAGE(Participantes!AA7:AA56),"")</f>
        <v/>
      </c>
      <c r="C30" s="13" t="str">
        <f aca="false">IFERROR(COUNTIF(Participantes!AA7:AA56,"&gt;=4")/COUNT(Participantes!AA7:AA56),"")</f>
        <v/>
      </c>
      <c r="D30" s="14" t="n">
        <f aca="false">COUNT(Participantes!AA7:AA56)</f>
        <v>0</v>
      </c>
    </row>
    <row r="31" customFormat="false" ht="30" hidden="false" customHeight="true" outlineLevel="0" collapsed="false">
      <c r="A31" s="10" t="s">
        <v>54</v>
      </c>
      <c r="B31" s="11" t="str">
        <f aca="false">IFERROR(AVERAGE(Participantes!AB7:AB56),"")</f>
        <v/>
      </c>
      <c r="C31" s="13" t="str">
        <f aca="false">IFERROR(COUNTIF(Participantes!AB7:AB56,"&gt;=4")/COUNT(Participantes!AB7:AB56),"")</f>
        <v/>
      </c>
      <c r="D31" s="14" t="n">
        <f aca="false">COUNT(Participantes!AB7:AB56)</f>
        <v>0</v>
      </c>
    </row>
    <row r="32" customFormat="false" ht="30" hidden="false" customHeight="true" outlineLevel="0" collapsed="false">
      <c r="A32" s="10" t="s">
        <v>55</v>
      </c>
      <c r="B32" s="11" t="str">
        <f aca="false">IFERROR(AVERAGE(Participantes!AC7:AC56),"")</f>
        <v/>
      </c>
      <c r="C32" s="13" t="str">
        <f aca="false">IFERROR(COUNTIF(Participantes!AC7:AC56,"&gt;=4")/COUNT(Participantes!AC7:AC56),"")</f>
        <v/>
      </c>
      <c r="D32" s="14" t="n">
        <f aca="false">COUNT(Participantes!AC7:AC56)</f>
        <v>0</v>
      </c>
    </row>
    <row r="33" customFormat="false" ht="30" hidden="false" customHeight="true" outlineLevel="0" collapsed="false">
      <c r="A33" s="10" t="s">
        <v>56</v>
      </c>
      <c r="B33" s="11" t="str">
        <f aca="false">IFERROR(AVERAGE(Participantes!AD7:AD56),"")</f>
        <v/>
      </c>
      <c r="C33" s="13" t="str">
        <f aca="false">IFERROR(COUNTIF(Participantes!AD7:AD56,"&gt;=4")/COUNT(Participantes!AD7:AD56),"")</f>
        <v/>
      </c>
      <c r="D33" s="14" t="n">
        <f aca="false">COUNT(Participantes!AD7:AD56)</f>
        <v>0</v>
      </c>
    </row>
    <row r="34" customFormat="false" ht="30" hidden="false" customHeight="true" outlineLevel="0" collapsed="false">
      <c r="A34" s="10" t="s">
        <v>57</v>
      </c>
      <c r="B34" s="11" t="str">
        <f aca="false">IFERROR(AVERAGE(Participantes!AE7:AE56),"")</f>
        <v/>
      </c>
      <c r="C34" s="13" t="str">
        <f aca="false">IFERROR(COUNTIF(Participantes!AE7:AE56,"&gt;=4")/COUNT(Participantes!AE7:AE56),"")</f>
        <v/>
      </c>
      <c r="D34" s="14" t="n">
        <f aca="false">COUNT(Participantes!AE7:AE56)</f>
        <v>0</v>
      </c>
    </row>
    <row r="35" customFormat="false" ht="30" hidden="false" customHeight="true" outlineLevel="0" collapsed="false">
      <c r="A35" s="10" t="s">
        <v>58</v>
      </c>
      <c r="B35" s="11" t="str">
        <f aca="false">IFERROR(AVERAGE(Participantes!AF7:AF56),"")</f>
        <v/>
      </c>
      <c r="C35" s="13" t="str">
        <f aca="false">IFERROR(COUNTIF(Participantes!AF7:AF56,"&gt;=4")/COUNT(Participantes!AF7:AF56),"")</f>
        <v/>
      </c>
      <c r="D35" s="14" t="n">
        <f aca="false">COUNT(Participantes!AF7:AF56)</f>
        <v>0</v>
      </c>
    </row>
    <row r="37" customFormat="false" ht="15" hidden="false" customHeight="false" outlineLevel="0" collapsed="false">
      <c r="A37" s="4" t="s">
        <v>59</v>
      </c>
    </row>
    <row r="38" customFormat="false" ht="36" hidden="false" customHeight="true" outlineLevel="0" collapsed="false">
      <c r="A38" s="9" t="s">
        <v>60</v>
      </c>
      <c r="B38" s="9" t="s">
        <v>61</v>
      </c>
      <c r="C38" s="9" t="s">
        <v>62</v>
      </c>
      <c r="D38" s="9" t="s">
        <v>63</v>
      </c>
    </row>
    <row r="39" customFormat="false" ht="15" hidden="false" customHeight="false" outlineLevel="0" collapsed="false">
      <c r="A39" s="7" t="s">
        <v>64</v>
      </c>
      <c r="B39" s="11" t="str">
        <f aca="false">IFERROR(AVERAGEIF(Validacao_IVC!B5:B28,"Precisão técnica dos conceitos",Validacao_IVC!Z5:Z28),"")</f>
        <v/>
      </c>
      <c r="C39" s="14" t="n">
        <f aca="false">COUNTIFS(Validacao_IVC!B5:B28,"Precisão técnica dos conceitos",Validacao_IVC!AB5:AB28,"Revisar")</f>
        <v>0</v>
      </c>
      <c r="D39" s="14" t="n">
        <f aca="false">COUNTIFS(Validacao_IVC!B5:B28,"Precisão técnica dos conceitos",Validacao_IVC!X5:X28,"&gt;0")</f>
        <v>0</v>
      </c>
    </row>
    <row r="40" customFormat="false" ht="15" hidden="false" customHeight="false" outlineLevel="0" collapsed="false">
      <c r="A40" s="7" t="s">
        <v>65</v>
      </c>
      <c r="B40" s="11" t="str">
        <f aca="false">IFERROR(AVERAGEIF(Validacao_IVC!B5:B28,"Protocolo de autoproteção",Validacao_IVC!Z5:Z28),"")</f>
        <v/>
      </c>
      <c r="C40" s="14" t="n">
        <f aca="false">COUNTIFS(Validacao_IVC!B5:B28,"Protocolo de autoproteção",Validacao_IVC!AB5:AB28,"Revisar")</f>
        <v>0</v>
      </c>
      <c r="D40" s="14" t="n">
        <f aca="false">COUNTIFS(Validacao_IVC!B5:B28,"Protocolo de autoproteção",Validacao_IVC!X5:X28,"&gt;0")</f>
        <v>0</v>
      </c>
    </row>
    <row r="41" customFormat="false" ht="15" hidden="false" customHeight="false" outlineLevel="0" collapsed="false">
      <c r="A41" s="7" t="s">
        <v>66</v>
      </c>
      <c r="B41" s="11" t="str">
        <f aca="false">IFERROR(AVERAGEIF(Validacao_IVC!B5:B28,"Cenários e situações do jogo",Validacao_IVC!Z5:Z28),"")</f>
        <v/>
      </c>
      <c r="C41" s="14" t="n">
        <f aca="false">COUNTIFS(Validacao_IVC!B5:B28,"Cenários e situações do jogo",Validacao_IVC!AB5:AB28,"Revisar")</f>
        <v>0</v>
      </c>
      <c r="D41" s="14" t="n">
        <f aca="false">COUNTIFS(Validacao_IVC!B5:B28,"Cenários e situações do jogo",Validacao_IVC!X5:X28,"&gt;0")</f>
        <v>0</v>
      </c>
    </row>
    <row r="42" customFormat="false" ht="15" hidden="false" customHeight="false" outlineLevel="0" collapsed="false">
      <c r="A42" s="7" t="s">
        <v>67</v>
      </c>
      <c r="B42" s="11" t="str">
        <f aca="false">IFERROR(AVERAGEIF(Validacao_IVC!B5:B28,"Linguagem e mensagens",Validacao_IVC!Z5:Z28),"")</f>
        <v/>
      </c>
      <c r="C42" s="14" t="n">
        <f aca="false">COUNTIFS(Validacao_IVC!B5:B28,"Linguagem e mensagens",Validacao_IVC!AB5:AB28,"Revisar")</f>
        <v>0</v>
      </c>
      <c r="D42" s="14" t="n">
        <f aca="false">COUNTIFS(Validacao_IVC!B5:B28,"Linguagem e mensagens",Validacao_IVC!X5:X28,"&gt;0")</f>
        <v>0</v>
      </c>
    </row>
    <row r="43" customFormat="false" ht="15" hidden="false" customHeight="false" outlineLevel="0" collapsed="false">
      <c r="A43" s="7" t="s">
        <v>68</v>
      </c>
      <c r="B43" s="11" t="str">
        <f aca="false">IFERROR(AVERAGEIF(Validacao_IVC!B5:B28,"Adequação pedagógica",Validacao_IVC!Z5:Z28),"")</f>
        <v/>
      </c>
      <c r="C43" s="14" t="n">
        <f aca="false">COUNTIFS(Validacao_IVC!B5:B28,"Adequação pedagógica",Validacao_IVC!AB5:AB28,"Revisar")</f>
        <v>0</v>
      </c>
      <c r="D43" s="14" t="n">
        <f aca="false">COUNTIFS(Validacao_IVC!B5:B28,"Adequação pedagógica",Validacao_IVC!X5:X28,"&gt;0")</f>
        <v>0</v>
      </c>
    </row>
    <row r="44" customFormat="false" ht="15" hidden="false" customHeight="false" outlineLevel="0" collapsed="false">
      <c r="A44" s="7" t="s">
        <v>69</v>
      </c>
      <c r="B44" s="11" t="str">
        <f aca="false">IFERROR(AVERAGEIF(Validacao_IVC!B5:B28,"Aplicabilidade e inclusão",Validacao_IVC!Z5:Z28),"")</f>
        <v/>
      </c>
      <c r="C44" s="14" t="n">
        <f aca="false">COUNTIFS(Validacao_IVC!B5:B28,"Aplicabilidade e inclusão",Validacao_IVC!AB5:AB28,"Revisar")</f>
        <v>0</v>
      </c>
      <c r="D44" s="14" t="n">
        <f aca="false">COUNTIFS(Validacao_IVC!B5:B28,"Aplicabilidade e inclusão",Validacao_IVC!X5:X28,"&gt;0")</f>
        <v>0</v>
      </c>
    </row>
    <row r="45" customFormat="false" ht="15" hidden="false" customHeight="false" outlineLevel="0" collapsed="false">
      <c r="A45" s="4" t="s">
        <v>70</v>
      </c>
      <c r="B45" s="15" t="str">
        <f aca="false">IFERROR(AVERAGE(Validacao_IVC!Z5:Z28),"")</f>
        <v/>
      </c>
      <c r="C45" s="16" t="n">
        <f aca="false">COUNTIF(Validacao_IVC!AB5:AB28,"Revisar")</f>
        <v>0</v>
      </c>
      <c r="D45" s="16" t="n">
        <f aca="false">COUNTIF(Validacao_IVC!X5:X28,"&gt;0")</f>
        <v>0</v>
      </c>
    </row>
    <row r="46" customFormat="false" ht="15" hidden="false" customHeight="false" outlineLevel="0" collapsed="false">
      <c r="A46" s="8" t="s">
        <v>71</v>
      </c>
    </row>
    <row r="48" customFormat="false" ht="15" hidden="false" customHeight="false" outlineLevel="0" collapsed="false">
      <c r="A48" s="4" t="s">
        <v>72</v>
      </c>
    </row>
    <row r="49" customFormat="false" ht="24" hidden="false" customHeight="true" outlineLevel="0" collapsed="false">
      <c r="A49" s="9" t="s">
        <v>73</v>
      </c>
      <c r="B49" s="9" t="s">
        <v>74</v>
      </c>
      <c r="C49" s="9" t="s">
        <v>39</v>
      </c>
      <c r="D49" s="9" t="s">
        <v>75</v>
      </c>
    </row>
    <row r="50" customFormat="false" ht="15" hidden="false" customHeight="false" outlineLevel="0" collapsed="false">
      <c r="A50" s="7" t="s">
        <v>76</v>
      </c>
      <c r="B50" s="14" t="n">
        <f aca="false">COUNTIFS(Observacoes!E6:E65,"Conceito",Observacoes!F6:F65,"Baixa")</f>
        <v>0</v>
      </c>
      <c r="C50" s="14" t="n">
        <f aca="false">COUNTIFS(Observacoes!E6:E65,"Conceito",Observacoes!F6:F65,"Média")</f>
        <v>0</v>
      </c>
      <c r="D50" s="14" t="n">
        <f aca="false">COUNTIFS(Observacoes!E6:E65,"Conceito",Observacoes!F6:F65,"Alta")</f>
        <v>0</v>
      </c>
    </row>
    <row r="51" customFormat="false" ht="15" hidden="false" customHeight="false" outlineLevel="0" collapsed="false">
      <c r="A51" s="7" t="s">
        <v>77</v>
      </c>
      <c r="B51" s="14" t="n">
        <f aca="false">COUNTIFS(Observacoes!E6:E65,"Terminologia",Observacoes!F6:F65,"Baixa")</f>
        <v>0</v>
      </c>
      <c r="C51" s="14" t="n">
        <f aca="false">COUNTIFS(Observacoes!E6:E65,"Terminologia",Observacoes!F6:F65,"Média")</f>
        <v>0</v>
      </c>
      <c r="D51" s="14" t="n">
        <f aca="false">COUNTIFS(Observacoes!E6:E65,"Terminologia",Observacoes!F6:F65,"Alta")</f>
        <v>0</v>
      </c>
    </row>
    <row r="52" customFormat="false" ht="15" hidden="false" customHeight="false" outlineLevel="0" collapsed="false">
      <c r="A52" s="7" t="s">
        <v>78</v>
      </c>
      <c r="B52" s="14" t="n">
        <f aca="false">COUNTIFS(Observacoes!E6:E65,"Protocolo",Observacoes!F6:F65,"Baixa")</f>
        <v>0</v>
      </c>
      <c r="C52" s="14" t="n">
        <f aca="false">COUNTIFS(Observacoes!E6:E65,"Protocolo",Observacoes!F6:F65,"Média")</f>
        <v>0</v>
      </c>
      <c r="D52" s="14" t="n">
        <f aca="false">COUNTIFS(Observacoes!E6:E65,"Protocolo",Observacoes!F6:F65,"Alta")</f>
        <v>0</v>
      </c>
    </row>
    <row r="53" customFormat="false" ht="15" hidden="false" customHeight="false" outlineLevel="0" collapsed="false">
      <c r="A53" s="7" t="s">
        <v>79</v>
      </c>
      <c r="B53" s="14" t="n">
        <f aca="false">COUNTIFS(Observacoes!E6:E65,"Realismo",Observacoes!F6:F65,"Baixa")</f>
        <v>0</v>
      </c>
      <c r="C53" s="14" t="n">
        <f aca="false">COUNTIFS(Observacoes!E6:E65,"Realismo",Observacoes!F6:F65,"Média")</f>
        <v>0</v>
      </c>
      <c r="D53" s="14" t="n">
        <f aca="false">COUNTIFS(Observacoes!E6:E65,"Realismo",Observacoes!F6:F65,"Alta")</f>
        <v>0</v>
      </c>
    </row>
    <row r="54" customFormat="false" ht="15" hidden="false" customHeight="false" outlineLevel="0" collapsed="false">
      <c r="A54" s="7" t="s">
        <v>80</v>
      </c>
      <c r="B54" s="14" t="n">
        <f aca="false">COUNTIFS(Observacoes!E6:E65,"Linguagem",Observacoes!F6:F65,"Baixa")</f>
        <v>0</v>
      </c>
      <c r="C54" s="14" t="n">
        <f aca="false">COUNTIFS(Observacoes!E6:E65,"Linguagem",Observacoes!F6:F65,"Média")</f>
        <v>0</v>
      </c>
      <c r="D54" s="14" t="n">
        <f aca="false">COUNTIFS(Observacoes!E6:E65,"Linguagem",Observacoes!F6:F65,"Alta")</f>
        <v>0</v>
      </c>
    </row>
    <row r="55" customFormat="false" ht="15" hidden="false" customHeight="false" outlineLevel="0" collapsed="false">
      <c r="A55" s="7" t="s">
        <v>81</v>
      </c>
      <c r="B55" s="14" t="n">
        <f aca="false">COUNTIFS(Observacoes!E6:E65,"Técnico (erro ou falha)",Observacoes!F6:F65,"Baixa")</f>
        <v>0</v>
      </c>
      <c r="C55" s="14" t="n">
        <f aca="false">COUNTIFS(Observacoes!E6:E65,"Técnico (erro ou falha)",Observacoes!F6:F65,"Média")</f>
        <v>0</v>
      </c>
      <c r="D55" s="14" t="n">
        <f aca="false">COUNTIFS(Observacoes!E6:E65,"Técnico (erro ou falha)",Observacoes!F6:F65,"Alta")</f>
        <v>0</v>
      </c>
    </row>
    <row r="56" customFormat="false" ht="15" hidden="false" customHeight="false" outlineLevel="0" collapsed="false">
      <c r="A56" s="7" t="s">
        <v>82</v>
      </c>
      <c r="B56" s="14" t="n">
        <f aca="false">COUNTIFS(Observacoes!E6:E65,"Acessibilidade",Observacoes!F6:F65,"Baixa")</f>
        <v>0</v>
      </c>
      <c r="C56" s="14" t="n">
        <f aca="false">COUNTIFS(Observacoes!E6:E65,"Acessibilidade",Observacoes!F6:F65,"Média")</f>
        <v>0</v>
      </c>
      <c r="D56" s="14" t="n">
        <f aca="false">COUNTIFS(Observacoes!E6:E65,"Acessibilidade",Observacoes!F6:F65,"Alta")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6" min="5" style="0" width="13"/>
    <col collapsed="false" customWidth="true" hidden="false" outlineLevel="0" max="36" min="7" style="0" width="7"/>
    <col collapsed="false" customWidth="true" hidden="false" outlineLevel="0" max="39" min="37" style="0" width="10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8" t="s">
        <v>84</v>
      </c>
    </row>
    <row r="4" customFormat="false" ht="15" hidden="false" customHeight="false" outlineLevel="0" collapsed="false">
      <c r="G4" s="4" t="s">
        <v>85</v>
      </c>
      <c r="Q4" s="4" t="s">
        <v>86</v>
      </c>
      <c r="AA4" s="4" t="s">
        <v>87</v>
      </c>
      <c r="AD4" s="4" t="s">
        <v>88</v>
      </c>
    </row>
    <row r="5" customFormat="false" ht="43.5" hidden="false" customHeight="true" outlineLevel="0" collapsed="false">
      <c r="A5" s="9" t="s">
        <v>89</v>
      </c>
      <c r="B5" s="9" t="s">
        <v>90</v>
      </c>
      <c r="C5" s="9" t="s">
        <v>91</v>
      </c>
      <c r="D5" s="9" t="s">
        <v>92</v>
      </c>
      <c r="E5" s="9" t="s">
        <v>93</v>
      </c>
      <c r="F5" s="9" t="s">
        <v>94</v>
      </c>
      <c r="G5" s="9" t="s">
        <v>95</v>
      </c>
      <c r="H5" s="9" t="s">
        <v>96</v>
      </c>
      <c r="I5" s="9" t="s">
        <v>97</v>
      </c>
      <c r="J5" s="9" t="s">
        <v>98</v>
      </c>
      <c r="K5" s="9" t="s">
        <v>99</v>
      </c>
      <c r="L5" s="9" t="s">
        <v>100</v>
      </c>
      <c r="M5" s="9" t="s">
        <v>101</v>
      </c>
      <c r="N5" s="9" t="s">
        <v>102</v>
      </c>
      <c r="O5" s="9" t="s">
        <v>103</v>
      </c>
      <c r="P5" s="9" t="s">
        <v>104</v>
      </c>
      <c r="Q5" s="9" t="s">
        <v>105</v>
      </c>
      <c r="R5" s="9" t="s">
        <v>106</v>
      </c>
      <c r="S5" s="9" t="s">
        <v>107</v>
      </c>
      <c r="T5" s="9" t="s">
        <v>108</v>
      </c>
      <c r="U5" s="9" t="s">
        <v>109</v>
      </c>
      <c r="V5" s="9" t="s">
        <v>110</v>
      </c>
      <c r="W5" s="9" t="s">
        <v>111</v>
      </c>
      <c r="X5" s="9" t="s">
        <v>112</v>
      </c>
      <c r="Y5" s="9" t="s">
        <v>113</v>
      </c>
      <c r="Z5" s="9" t="s">
        <v>114</v>
      </c>
      <c r="AA5" s="9" t="s">
        <v>115</v>
      </c>
      <c r="AB5" s="9" t="s">
        <v>116</v>
      </c>
      <c r="AC5" s="9" t="s">
        <v>117</v>
      </c>
      <c r="AD5" s="9" t="s">
        <v>118</v>
      </c>
      <c r="AE5" s="9" t="s">
        <v>119</v>
      </c>
      <c r="AF5" s="9" t="s">
        <v>120</v>
      </c>
      <c r="AG5" s="9" t="s">
        <v>29</v>
      </c>
      <c r="AH5" s="9" t="s">
        <v>30</v>
      </c>
      <c r="AI5" s="9" t="s">
        <v>31</v>
      </c>
    </row>
    <row r="6" customFormat="false" ht="15" hidden="false" customHeight="false" outlineLevel="0" collapsed="false">
      <c r="A6" s="17" t="s">
        <v>121</v>
      </c>
      <c r="B6" s="17" t="s">
        <v>122</v>
      </c>
      <c r="C6" s="17" t="s">
        <v>123</v>
      </c>
      <c r="D6" s="17" t="s">
        <v>124</v>
      </c>
      <c r="E6" s="17" t="s">
        <v>125</v>
      </c>
      <c r="F6" s="17" t="s">
        <v>126</v>
      </c>
      <c r="G6" s="17" t="n">
        <v>2</v>
      </c>
      <c r="H6" s="17" t="n">
        <v>3</v>
      </c>
      <c r="I6" s="17" t="n">
        <v>2</v>
      </c>
      <c r="J6" s="17" t="n">
        <v>1</v>
      </c>
      <c r="K6" s="17" t="n">
        <v>2</v>
      </c>
      <c r="L6" s="17" t="n">
        <v>4</v>
      </c>
      <c r="M6" s="17" t="n">
        <v>4</v>
      </c>
      <c r="N6" s="17" t="n">
        <v>4</v>
      </c>
      <c r="O6" s="17" t="n">
        <v>3</v>
      </c>
      <c r="P6" s="17" t="n">
        <v>3</v>
      </c>
      <c r="Q6" s="17" t="n">
        <v>5</v>
      </c>
      <c r="R6" s="17" t="n">
        <v>4</v>
      </c>
      <c r="S6" s="17" t="n">
        <v>4</v>
      </c>
      <c r="T6" s="17" t="n">
        <v>4</v>
      </c>
      <c r="U6" s="17" t="n">
        <v>5</v>
      </c>
      <c r="V6" s="17" t="n">
        <v>2</v>
      </c>
      <c r="W6" s="17" t="n">
        <v>1</v>
      </c>
      <c r="X6" s="17" t="n">
        <v>4</v>
      </c>
      <c r="Y6" s="17" t="n">
        <v>5</v>
      </c>
      <c r="Z6" s="17" t="n">
        <v>4</v>
      </c>
      <c r="AA6" s="17" t="n">
        <v>5</v>
      </c>
      <c r="AB6" s="17" t="n">
        <v>4</v>
      </c>
      <c r="AC6" s="17" t="n">
        <v>4</v>
      </c>
      <c r="AD6" s="17" t="n">
        <v>4</v>
      </c>
      <c r="AE6" s="17" t="n">
        <v>4</v>
      </c>
      <c r="AF6" s="17" t="n">
        <v>4</v>
      </c>
      <c r="AG6" s="18" t="n">
        <f aca="false">AVERAGE(G6:K6)</f>
        <v>2</v>
      </c>
      <c r="AH6" s="18" t="n">
        <f aca="false">AVERAGE(L6:P6)</f>
        <v>3.6</v>
      </c>
      <c r="AI6" s="18" t="n">
        <f aca="false">AH6-AG6</f>
        <v>1.6</v>
      </c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19" t="str">
        <f aca="false">IF(COUNT(G7:K7)=0,"",AVERAGE(G7:K7))</f>
        <v/>
      </c>
      <c r="AH7" s="19" t="str">
        <f aca="false">IF(COUNT(L7:P7)=0,"",AVERAGE(L7:P7))</f>
        <v/>
      </c>
      <c r="AI7" s="19" t="str">
        <f aca="false">IF(OR(AG7="",AH7=""),"",AH7-AG7)</f>
        <v/>
      </c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19" t="str">
        <f aca="false">IF(COUNT(G8:K8)=0,"",AVERAGE(G8:K8))</f>
        <v/>
      </c>
      <c r="AH8" s="19" t="str">
        <f aca="false">IF(COUNT(L8:P8)=0,"",AVERAGE(L8:P8))</f>
        <v/>
      </c>
      <c r="AI8" s="19" t="str">
        <f aca="false">IF(OR(AG8="",AH8=""),"",AH8-AG8)</f>
        <v/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9" t="str">
        <f aca="false">IF(COUNT(G9:K9)=0,"",AVERAGE(G9:K9))</f>
        <v/>
      </c>
      <c r="AH9" s="19" t="str">
        <f aca="false">IF(COUNT(L9:P9)=0,"",AVERAGE(L9:P9))</f>
        <v/>
      </c>
      <c r="AI9" s="19" t="str">
        <f aca="false">IF(OR(AG9="",AH9=""),"",AH9-AG9)</f>
        <v/>
      </c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19" t="str">
        <f aca="false">IF(COUNT(G10:K10)=0,"",AVERAGE(G10:K10))</f>
        <v/>
      </c>
      <c r="AH10" s="19" t="str">
        <f aca="false">IF(COUNT(L10:P10)=0,"",AVERAGE(L10:P10))</f>
        <v/>
      </c>
      <c r="AI10" s="19" t="str">
        <f aca="false">IF(OR(AG10="",AH10=""),"",AH10-AG10)</f>
        <v/>
      </c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19" t="str">
        <f aca="false">IF(COUNT(G11:K11)=0,"",AVERAGE(G11:K11))</f>
        <v/>
      </c>
      <c r="AH11" s="19" t="str">
        <f aca="false">IF(COUNT(L11:P11)=0,"",AVERAGE(L11:P11))</f>
        <v/>
      </c>
      <c r="AI11" s="19" t="str">
        <f aca="false">IF(OR(AG11="",AH11=""),"",AH11-AG11)</f>
        <v/>
      </c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19" t="str">
        <f aca="false">IF(COUNT(G12:K12)=0,"",AVERAGE(G12:K12))</f>
        <v/>
      </c>
      <c r="AH12" s="19" t="str">
        <f aca="false">IF(COUNT(L12:P12)=0,"",AVERAGE(L12:P12))</f>
        <v/>
      </c>
      <c r="AI12" s="19" t="str">
        <f aca="false">IF(OR(AG12="",AH12=""),"",AH12-AG12)</f>
        <v/>
      </c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19" t="str">
        <f aca="false">IF(COUNT(G13:K13)=0,"",AVERAGE(G13:K13))</f>
        <v/>
      </c>
      <c r="AH13" s="19" t="str">
        <f aca="false">IF(COUNT(L13:P13)=0,"",AVERAGE(L13:P13))</f>
        <v/>
      </c>
      <c r="AI13" s="19" t="str">
        <f aca="false">IF(OR(AG13="",AH13=""),"",AH13-AG13)</f>
        <v/>
      </c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19" t="str">
        <f aca="false">IF(COUNT(G14:K14)=0,"",AVERAGE(G14:K14))</f>
        <v/>
      </c>
      <c r="AH14" s="19" t="str">
        <f aca="false">IF(COUNT(L14:P14)=0,"",AVERAGE(L14:P14))</f>
        <v/>
      </c>
      <c r="AI14" s="19" t="str">
        <f aca="false">IF(OR(AG14="",AH14=""),"",AH14-AG14)</f>
        <v/>
      </c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19" t="str">
        <f aca="false">IF(COUNT(G15:K15)=0,"",AVERAGE(G15:K15))</f>
        <v/>
      </c>
      <c r="AH15" s="19" t="str">
        <f aca="false">IF(COUNT(L15:P15)=0,"",AVERAGE(L15:P15))</f>
        <v/>
      </c>
      <c r="AI15" s="19" t="str">
        <f aca="false">IF(OR(AG15="",AH15=""),"",AH15-AG15)</f>
        <v/>
      </c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19" t="str">
        <f aca="false">IF(COUNT(G16:K16)=0,"",AVERAGE(G16:K16))</f>
        <v/>
      </c>
      <c r="AH16" s="19" t="str">
        <f aca="false">IF(COUNT(L16:P16)=0,"",AVERAGE(L16:P16))</f>
        <v/>
      </c>
      <c r="AI16" s="19" t="str">
        <f aca="false">IF(OR(AG16="",AH16=""),"",AH16-AG16)</f>
        <v/>
      </c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9" t="str">
        <f aca="false">IF(COUNT(G17:K17)=0,"",AVERAGE(G17:K17))</f>
        <v/>
      </c>
      <c r="AH17" s="19" t="str">
        <f aca="false">IF(COUNT(L17:P17)=0,"",AVERAGE(L17:P17))</f>
        <v/>
      </c>
      <c r="AI17" s="19" t="str">
        <f aca="false">IF(OR(AG17="",AH17=""),"",AH17-AG17)</f>
        <v/>
      </c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19" t="str">
        <f aca="false">IF(COUNT(G18:K18)=0,"",AVERAGE(G18:K18))</f>
        <v/>
      </c>
      <c r="AH18" s="19" t="str">
        <f aca="false">IF(COUNT(L18:P18)=0,"",AVERAGE(L18:P18))</f>
        <v/>
      </c>
      <c r="AI18" s="19" t="str">
        <f aca="false">IF(OR(AG18="",AH18=""),"",AH18-AG18)</f>
        <v/>
      </c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9" t="str">
        <f aca="false">IF(COUNT(G19:K19)=0,"",AVERAGE(G19:K19))</f>
        <v/>
      </c>
      <c r="AH19" s="19" t="str">
        <f aca="false">IF(COUNT(L19:P19)=0,"",AVERAGE(L19:P19))</f>
        <v/>
      </c>
      <c r="AI19" s="19" t="str">
        <f aca="false">IF(OR(AG19="",AH19=""),"",AH19-AG19)</f>
        <v/>
      </c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19" t="str">
        <f aca="false">IF(COUNT(G20:K20)=0,"",AVERAGE(G20:K20))</f>
        <v/>
      </c>
      <c r="AH20" s="19" t="str">
        <f aca="false">IF(COUNT(L20:P20)=0,"",AVERAGE(L20:P20))</f>
        <v/>
      </c>
      <c r="AI20" s="19" t="str">
        <f aca="false">IF(OR(AG20="",AH20=""),"",AH20-AG20)</f>
        <v/>
      </c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19" t="str">
        <f aca="false">IF(COUNT(G21:K21)=0,"",AVERAGE(G21:K21))</f>
        <v/>
      </c>
      <c r="AH21" s="19" t="str">
        <f aca="false">IF(COUNT(L21:P21)=0,"",AVERAGE(L21:P21))</f>
        <v/>
      </c>
      <c r="AI21" s="19" t="str">
        <f aca="false">IF(OR(AG21="",AH21=""),"",AH21-AG21)</f>
        <v/>
      </c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19" t="str">
        <f aca="false">IF(COUNT(G22:K22)=0,"",AVERAGE(G22:K22))</f>
        <v/>
      </c>
      <c r="AH22" s="19" t="str">
        <f aca="false">IF(COUNT(L22:P22)=0,"",AVERAGE(L22:P22))</f>
        <v/>
      </c>
      <c r="AI22" s="19" t="str">
        <f aca="false">IF(OR(AG22="",AH22=""),"",AH22-AG22)</f>
        <v/>
      </c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19" t="str">
        <f aca="false">IF(COUNT(G23:K23)=0,"",AVERAGE(G23:K23))</f>
        <v/>
      </c>
      <c r="AH23" s="19" t="str">
        <f aca="false">IF(COUNT(L23:P23)=0,"",AVERAGE(L23:P23))</f>
        <v/>
      </c>
      <c r="AI23" s="19" t="str">
        <f aca="false">IF(OR(AG23="",AH23=""),"",AH23-AG23)</f>
        <v/>
      </c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19" t="str">
        <f aca="false">IF(COUNT(G24:K24)=0,"",AVERAGE(G24:K24))</f>
        <v/>
      </c>
      <c r="AH24" s="19" t="str">
        <f aca="false">IF(COUNT(L24:P24)=0,"",AVERAGE(L24:P24))</f>
        <v/>
      </c>
      <c r="AI24" s="19" t="str">
        <f aca="false">IF(OR(AG24="",AH24=""),"",AH24-AG24)</f>
        <v/>
      </c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19" t="str">
        <f aca="false">IF(COUNT(G25:K25)=0,"",AVERAGE(G25:K25))</f>
        <v/>
      </c>
      <c r="AH25" s="19" t="str">
        <f aca="false">IF(COUNT(L25:P25)=0,"",AVERAGE(L25:P25))</f>
        <v/>
      </c>
      <c r="AI25" s="19" t="str">
        <f aca="false">IF(OR(AG25="",AH25=""),"",AH25-AG25)</f>
        <v/>
      </c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19" t="str">
        <f aca="false">IF(COUNT(G26:K26)=0,"",AVERAGE(G26:K26))</f>
        <v/>
      </c>
      <c r="AH26" s="19" t="str">
        <f aca="false">IF(COUNT(L26:P26)=0,"",AVERAGE(L26:P26))</f>
        <v/>
      </c>
      <c r="AI26" s="19" t="str">
        <f aca="false">IF(OR(AG26="",AH26=""),"",AH26-AG26)</f>
        <v/>
      </c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9" t="str">
        <f aca="false">IF(COUNT(G27:K27)=0,"",AVERAGE(G27:K27))</f>
        <v/>
      </c>
      <c r="AH27" s="19" t="str">
        <f aca="false">IF(COUNT(L27:P27)=0,"",AVERAGE(L27:P27))</f>
        <v/>
      </c>
      <c r="AI27" s="19" t="str">
        <f aca="false">IF(OR(AG27="",AH27=""),"",AH27-AG27)</f>
        <v/>
      </c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19" t="str">
        <f aca="false">IF(COUNT(G28:K28)=0,"",AVERAGE(G28:K28))</f>
        <v/>
      </c>
      <c r="AH28" s="19" t="str">
        <f aca="false">IF(COUNT(L28:P28)=0,"",AVERAGE(L28:P28))</f>
        <v/>
      </c>
      <c r="AI28" s="19" t="str">
        <f aca="false">IF(OR(AG28="",AH28=""),"",AH28-AG28)</f>
        <v/>
      </c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19" t="str">
        <f aca="false">IF(COUNT(G29:K29)=0,"",AVERAGE(G29:K29))</f>
        <v/>
      </c>
      <c r="AH29" s="19" t="str">
        <f aca="false">IF(COUNT(L29:P29)=0,"",AVERAGE(L29:P29))</f>
        <v/>
      </c>
      <c r="AI29" s="19" t="str">
        <f aca="false">IF(OR(AG29="",AH29=""),"",AH29-AG29)</f>
        <v/>
      </c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19" t="str">
        <f aca="false">IF(COUNT(G30:K30)=0,"",AVERAGE(G30:K30))</f>
        <v/>
      </c>
      <c r="AH30" s="19" t="str">
        <f aca="false">IF(COUNT(L30:P30)=0,"",AVERAGE(L30:P30))</f>
        <v/>
      </c>
      <c r="AI30" s="19" t="str">
        <f aca="false">IF(OR(AG30="",AH30=""),"",AH30-AG30)</f>
        <v/>
      </c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19" t="str">
        <f aca="false">IF(COUNT(G31:K31)=0,"",AVERAGE(G31:K31))</f>
        <v/>
      </c>
      <c r="AH31" s="19" t="str">
        <f aca="false">IF(COUNT(L31:P31)=0,"",AVERAGE(L31:P31))</f>
        <v/>
      </c>
      <c r="AI31" s="19" t="str">
        <f aca="false">IF(OR(AG31="",AH31=""),"",AH31-AG31)</f>
        <v/>
      </c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19" t="str">
        <f aca="false">IF(COUNT(G32:K32)=0,"",AVERAGE(G32:K32))</f>
        <v/>
      </c>
      <c r="AH32" s="19" t="str">
        <f aca="false">IF(COUNT(L32:P32)=0,"",AVERAGE(L32:P32))</f>
        <v/>
      </c>
      <c r="AI32" s="19" t="str">
        <f aca="false">IF(OR(AG32="",AH32=""),"",AH32-AG32)</f>
        <v/>
      </c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19" t="str">
        <f aca="false">IF(COUNT(G33:K33)=0,"",AVERAGE(G33:K33))</f>
        <v/>
      </c>
      <c r="AH33" s="19" t="str">
        <f aca="false">IF(COUNT(L33:P33)=0,"",AVERAGE(L33:P33))</f>
        <v/>
      </c>
      <c r="AI33" s="19" t="str">
        <f aca="false">IF(OR(AG33="",AH33=""),"",AH33-AG33)</f>
        <v/>
      </c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19" t="str">
        <f aca="false">IF(COUNT(G34:K34)=0,"",AVERAGE(G34:K34))</f>
        <v/>
      </c>
      <c r="AH34" s="19" t="str">
        <f aca="false">IF(COUNT(L34:P34)=0,"",AVERAGE(L34:P34))</f>
        <v/>
      </c>
      <c r="AI34" s="19" t="str">
        <f aca="false">IF(OR(AG34="",AH34=""),"",AH34-AG34)</f>
        <v/>
      </c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19" t="str">
        <f aca="false">IF(COUNT(G35:K35)=0,"",AVERAGE(G35:K35))</f>
        <v/>
      </c>
      <c r="AH35" s="19" t="str">
        <f aca="false">IF(COUNT(L35:P35)=0,"",AVERAGE(L35:P35))</f>
        <v/>
      </c>
      <c r="AI35" s="19" t="str">
        <f aca="false">IF(OR(AG35="",AH35=""),"",AH35-AG35)</f>
        <v/>
      </c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19" t="str">
        <f aca="false">IF(COUNT(G36:K36)=0,"",AVERAGE(G36:K36))</f>
        <v/>
      </c>
      <c r="AH36" s="19" t="str">
        <f aca="false">IF(COUNT(L36:P36)=0,"",AVERAGE(L36:P36))</f>
        <v/>
      </c>
      <c r="AI36" s="19" t="str">
        <f aca="false">IF(OR(AG36="",AH36=""),"",AH36-AG36)</f>
        <v/>
      </c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19" t="str">
        <f aca="false">IF(COUNT(G37:K37)=0,"",AVERAGE(G37:K37))</f>
        <v/>
      </c>
      <c r="AH37" s="19" t="str">
        <f aca="false">IF(COUNT(L37:P37)=0,"",AVERAGE(L37:P37))</f>
        <v/>
      </c>
      <c r="AI37" s="19" t="str">
        <f aca="false">IF(OR(AG37="",AH37=""),"",AH37-AG37)</f>
        <v/>
      </c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19" t="str">
        <f aca="false">IF(COUNT(G38:K38)=0,"",AVERAGE(G38:K38))</f>
        <v/>
      </c>
      <c r="AH38" s="19" t="str">
        <f aca="false">IF(COUNT(L38:P38)=0,"",AVERAGE(L38:P38))</f>
        <v/>
      </c>
      <c r="AI38" s="19" t="str">
        <f aca="false">IF(OR(AG38="",AH38=""),"",AH38-AG38)</f>
        <v/>
      </c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19" t="str">
        <f aca="false">IF(COUNT(G39:K39)=0,"",AVERAGE(G39:K39))</f>
        <v/>
      </c>
      <c r="AH39" s="19" t="str">
        <f aca="false">IF(COUNT(L39:P39)=0,"",AVERAGE(L39:P39))</f>
        <v/>
      </c>
      <c r="AI39" s="19" t="str">
        <f aca="false">IF(OR(AG39="",AH39=""),"",AH39-AG39)</f>
        <v/>
      </c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19" t="str">
        <f aca="false">IF(COUNT(G40:K40)=0,"",AVERAGE(G40:K40))</f>
        <v/>
      </c>
      <c r="AH40" s="19" t="str">
        <f aca="false">IF(COUNT(L40:P40)=0,"",AVERAGE(L40:P40))</f>
        <v/>
      </c>
      <c r="AI40" s="19" t="str">
        <f aca="false">IF(OR(AG40="",AH40=""),"",AH40-AG40)</f>
        <v/>
      </c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19" t="str">
        <f aca="false">IF(COUNT(G41:K41)=0,"",AVERAGE(G41:K41))</f>
        <v/>
      </c>
      <c r="AH41" s="19" t="str">
        <f aca="false">IF(COUNT(L41:P41)=0,"",AVERAGE(L41:P41))</f>
        <v/>
      </c>
      <c r="AI41" s="19" t="str">
        <f aca="false">IF(OR(AG41="",AH41=""),"",AH41-AG41)</f>
        <v/>
      </c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19" t="str">
        <f aca="false">IF(COUNT(G42:K42)=0,"",AVERAGE(G42:K42))</f>
        <v/>
      </c>
      <c r="AH42" s="19" t="str">
        <f aca="false">IF(COUNT(L42:P42)=0,"",AVERAGE(L42:P42))</f>
        <v/>
      </c>
      <c r="AI42" s="19" t="str">
        <f aca="false">IF(OR(AG42="",AH42=""),"",AH42-AG42)</f>
        <v/>
      </c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19" t="str">
        <f aca="false">IF(COUNT(G43:K43)=0,"",AVERAGE(G43:K43))</f>
        <v/>
      </c>
      <c r="AH43" s="19" t="str">
        <f aca="false">IF(COUNT(L43:P43)=0,"",AVERAGE(L43:P43))</f>
        <v/>
      </c>
      <c r="AI43" s="19" t="str">
        <f aca="false">IF(OR(AG43="",AH43=""),"",AH43-AG43)</f>
        <v/>
      </c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19" t="str">
        <f aca="false">IF(COUNT(G44:K44)=0,"",AVERAGE(G44:K44))</f>
        <v/>
      </c>
      <c r="AH44" s="19" t="str">
        <f aca="false">IF(COUNT(L44:P44)=0,"",AVERAGE(L44:P44))</f>
        <v/>
      </c>
      <c r="AI44" s="19" t="str">
        <f aca="false">IF(OR(AG44="",AH44=""),"",AH44-AG44)</f>
        <v/>
      </c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19" t="str">
        <f aca="false">IF(COUNT(G45:K45)=0,"",AVERAGE(G45:K45))</f>
        <v/>
      </c>
      <c r="AH45" s="19" t="str">
        <f aca="false">IF(COUNT(L45:P45)=0,"",AVERAGE(L45:P45))</f>
        <v/>
      </c>
      <c r="AI45" s="19" t="str">
        <f aca="false">IF(OR(AG45="",AH45=""),"",AH45-AG45)</f>
        <v/>
      </c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19" t="str">
        <f aca="false">IF(COUNT(G46:K46)=0,"",AVERAGE(G46:K46))</f>
        <v/>
      </c>
      <c r="AH46" s="19" t="str">
        <f aca="false">IF(COUNT(L46:P46)=0,"",AVERAGE(L46:P46))</f>
        <v/>
      </c>
      <c r="AI46" s="19" t="str">
        <f aca="false">IF(OR(AG46="",AH46=""),"",AH46-AG46)</f>
        <v/>
      </c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19" t="str">
        <f aca="false">IF(COUNT(G47:K47)=0,"",AVERAGE(G47:K47))</f>
        <v/>
      </c>
      <c r="AH47" s="19" t="str">
        <f aca="false">IF(COUNT(L47:P47)=0,"",AVERAGE(L47:P47))</f>
        <v/>
      </c>
      <c r="AI47" s="19" t="str">
        <f aca="false">IF(OR(AG47="",AH47=""),"",AH47-AG47)</f>
        <v/>
      </c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19" t="str">
        <f aca="false">IF(COUNT(G48:K48)=0,"",AVERAGE(G48:K48))</f>
        <v/>
      </c>
      <c r="AH48" s="19" t="str">
        <f aca="false">IF(COUNT(L48:P48)=0,"",AVERAGE(L48:P48))</f>
        <v/>
      </c>
      <c r="AI48" s="19" t="str">
        <f aca="false">IF(OR(AG48="",AH48=""),"",AH48-AG48)</f>
        <v/>
      </c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19" t="str">
        <f aca="false">IF(COUNT(G49:K49)=0,"",AVERAGE(G49:K49))</f>
        <v/>
      </c>
      <c r="AH49" s="19" t="str">
        <f aca="false">IF(COUNT(L49:P49)=0,"",AVERAGE(L49:P49))</f>
        <v/>
      </c>
      <c r="AI49" s="19" t="str">
        <f aca="false">IF(OR(AG49="",AH49=""),"",AH49-AG49)</f>
        <v/>
      </c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19" t="str">
        <f aca="false">IF(COUNT(G50:K50)=0,"",AVERAGE(G50:K50))</f>
        <v/>
      </c>
      <c r="AH50" s="19" t="str">
        <f aca="false">IF(COUNT(L50:P50)=0,"",AVERAGE(L50:P50))</f>
        <v/>
      </c>
      <c r="AI50" s="19" t="str">
        <f aca="false">IF(OR(AG50="",AH50=""),"",AH50-AG50)</f>
        <v/>
      </c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19" t="str">
        <f aca="false">IF(COUNT(G51:K51)=0,"",AVERAGE(G51:K51))</f>
        <v/>
      </c>
      <c r="AH51" s="19" t="str">
        <f aca="false">IF(COUNT(L51:P51)=0,"",AVERAGE(L51:P51))</f>
        <v/>
      </c>
      <c r="AI51" s="19" t="str">
        <f aca="false">IF(OR(AG51="",AH51=""),"",AH51-AG51)</f>
        <v/>
      </c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19" t="str">
        <f aca="false">IF(COUNT(G52:K52)=0,"",AVERAGE(G52:K52))</f>
        <v/>
      </c>
      <c r="AH52" s="19" t="str">
        <f aca="false">IF(COUNT(L52:P52)=0,"",AVERAGE(L52:P52))</f>
        <v/>
      </c>
      <c r="AI52" s="19" t="str">
        <f aca="false">IF(OR(AG52="",AH52=""),"",AH52-AG52)</f>
        <v/>
      </c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19" t="str">
        <f aca="false">IF(COUNT(G53:K53)=0,"",AVERAGE(G53:K53))</f>
        <v/>
      </c>
      <c r="AH53" s="19" t="str">
        <f aca="false">IF(COUNT(L53:P53)=0,"",AVERAGE(L53:P53))</f>
        <v/>
      </c>
      <c r="AI53" s="19" t="str">
        <f aca="false">IF(OR(AG53="",AH53=""),"",AH53-AG53)</f>
        <v/>
      </c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19" t="str">
        <f aca="false">IF(COUNT(G54:K54)=0,"",AVERAGE(G54:K54))</f>
        <v/>
      </c>
      <c r="AH54" s="19" t="str">
        <f aca="false">IF(COUNT(L54:P54)=0,"",AVERAGE(L54:P54))</f>
        <v/>
      </c>
      <c r="AI54" s="19" t="str">
        <f aca="false">IF(OR(AG54="",AH54=""),"",AH54-AG54)</f>
        <v/>
      </c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19" t="str">
        <f aca="false">IF(COUNT(G55:K55)=0,"",AVERAGE(G55:K55))</f>
        <v/>
      </c>
      <c r="AH55" s="19" t="str">
        <f aca="false">IF(COUNT(L55:P55)=0,"",AVERAGE(L55:P55))</f>
        <v/>
      </c>
      <c r="AI55" s="19" t="str">
        <f aca="false">IF(OR(AG55="",AH55=""),"",AH55-AG55)</f>
        <v/>
      </c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19" t="str">
        <f aca="false">IF(COUNT(G56:K56)=0,"",AVERAGE(G56:K56))</f>
        <v/>
      </c>
      <c r="AH56" s="19" t="str">
        <f aca="false">IF(COUNT(L56:P56)=0,"",AVERAGE(L56:P56))</f>
        <v/>
      </c>
      <c r="AI56" s="19" t="str">
        <f aca="false">IF(OR(AG56="",AH56=""),"",AH56-AG56)</f>
        <v/>
      </c>
    </row>
  </sheetData>
  <dataValidations count="6">
    <dataValidation allowBlank="true" error="Digite um número inteiro de 1 a 5." errorStyle="stop" errorTitle="Valor inválido" operator="between" showDropDown="false" showErrorMessage="true" showInputMessage="false" sqref="G7:AF56" type="whole">
      <formula1>1</formula1>
      <formula2>5</formula2>
    </dataValidation>
    <dataValidation allowBlank="true" errorStyle="stop" operator="between" showDropDown="false" showErrorMessage="false" showInputMessage="false" sqref="B7:B56" type="list">
      <formula1>"Agente de defesa civil,Pesquisador(a),Professor(a) ou gestor(a),Outro"</formula1>
      <formula2>0</formula2>
    </dataValidation>
    <dataValidation allowBlank="true" errorStyle="stop" operator="between" showDropDown="false" showErrorMessage="false" showInputMessage="false" sqref="C7:C56" type="list">
      <formula1>"Municipal,Estadual,Federal,Universidade ou instituto,Outro"</formula1>
      <formula2>0</formula2>
    </dataValidation>
    <dataValidation allowBlank="true" errorStyle="stop" operator="between" showDropDown="false" showErrorMessage="false" showInputMessage="false" sqref="D7:D56" type="list">
      <formula1>"Menos de 2 anos,2 a 5 anos,6 a 10 anos,Mais de 10 anos"</formula1>
      <formula2>0</formula2>
    </dataValidation>
    <dataValidation allowBlank="true" errorStyle="stop" operator="between" showDropDown="false" showErrorMessage="false" showInputMessage="false" sqref="E7:E56" type="list">
      <formula1>"Sim,Não"</formula1>
      <formula2>0</formula2>
    </dataValidation>
    <dataValidation allowBlank="true" errorStyle="stop" operator="between" showDropDown="false" showErrorMessage="false" showInputMessage="false" sqref="F7:F56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23" min="4" style="0" width="5"/>
    <col collapsed="false" customWidth="true" hidden="false" outlineLevel="0" max="24" min="24" style="0" width="11"/>
    <col collapsed="false" customWidth="true" hidden="false" outlineLevel="0" max="25" min="25" style="0" width="12"/>
    <col collapsed="false" customWidth="true" hidden="false" outlineLevel="0" max="26" min="26" style="0" width="8"/>
    <col collapsed="false" customWidth="true" hidden="false" outlineLevel="0" max="27" min="27" style="0" width="10"/>
    <col collapsed="false" customWidth="true" hidden="false" outlineLevel="0" max="28" min="28" style="0" width="12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8" t="s">
        <v>128</v>
      </c>
    </row>
    <row r="4" customFormat="false" ht="36" hidden="false" customHeight="true" outlineLevel="0" collapsed="false">
      <c r="A4" s="9" t="s">
        <v>28</v>
      </c>
      <c r="B4" s="9" t="s">
        <v>60</v>
      </c>
      <c r="C4" s="9" t="s">
        <v>129</v>
      </c>
      <c r="D4" s="9" t="s">
        <v>130</v>
      </c>
      <c r="E4" s="9" t="s">
        <v>131</v>
      </c>
      <c r="F4" s="9" t="s">
        <v>132</v>
      </c>
      <c r="G4" s="9" t="s">
        <v>133</v>
      </c>
      <c r="H4" s="9" t="s">
        <v>134</v>
      </c>
      <c r="I4" s="9" t="s">
        <v>135</v>
      </c>
      <c r="J4" s="9" t="s">
        <v>136</v>
      </c>
      <c r="K4" s="9" t="s">
        <v>137</v>
      </c>
      <c r="L4" s="9" t="s">
        <v>138</v>
      </c>
      <c r="M4" s="9" t="s">
        <v>139</v>
      </c>
      <c r="N4" s="9" t="s">
        <v>140</v>
      </c>
      <c r="O4" s="9" t="s">
        <v>141</v>
      </c>
      <c r="P4" s="9" t="s">
        <v>142</v>
      </c>
      <c r="Q4" s="9" t="s">
        <v>143</v>
      </c>
      <c r="R4" s="9" t="s">
        <v>144</v>
      </c>
      <c r="S4" s="9" t="s">
        <v>145</v>
      </c>
      <c r="T4" s="9" t="s">
        <v>146</v>
      </c>
      <c r="U4" s="9" t="s">
        <v>147</v>
      </c>
      <c r="V4" s="9" t="s">
        <v>148</v>
      </c>
      <c r="W4" s="9" t="s">
        <v>149</v>
      </c>
      <c r="X4" s="9" t="s">
        <v>150</v>
      </c>
      <c r="Y4" s="9" t="s">
        <v>151</v>
      </c>
      <c r="Z4" s="9" t="s">
        <v>11</v>
      </c>
      <c r="AA4" s="9" t="s">
        <v>152</v>
      </c>
      <c r="AB4" s="9" t="s">
        <v>153</v>
      </c>
    </row>
    <row r="5" customFormat="false" ht="39.75" hidden="false" customHeight="true" outlineLevel="0" collapsed="false">
      <c r="A5" s="20" t="s">
        <v>154</v>
      </c>
      <c r="B5" s="7" t="s">
        <v>155</v>
      </c>
      <c r="C5" s="10" t="s">
        <v>156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14" t="n">
        <f aca="false">COUNT(D5:W5)</f>
        <v>0</v>
      </c>
      <c r="Y5" s="14" t="n">
        <f aca="false">COUNTIF(D5:W5,"&gt;=3")</f>
        <v>0</v>
      </c>
      <c r="Z5" s="11" t="str">
        <f aca="false">IF(X5=0,"",Y5/X5)</f>
        <v/>
      </c>
      <c r="AA5" s="11" t="str">
        <f aca="false">IF(X5=0,"",AVERAGE(D5:W5))</f>
        <v/>
      </c>
      <c r="AB5" s="14" t="str">
        <f aca="false">IF(X5=0,"",IF(X5&lt;=5,IF(Z5=1,"Adequado","Revisar"),IF(Z5&gt;=0.78,"Adequado","Revisar")))</f>
        <v/>
      </c>
    </row>
    <row r="6" customFormat="false" ht="39.75" hidden="false" customHeight="true" outlineLevel="0" collapsed="false">
      <c r="A6" s="20" t="s">
        <v>157</v>
      </c>
      <c r="B6" s="7" t="s">
        <v>155</v>
      </c>
      <c r="C6" s="10" t="s">
        <v>158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14" t="n">
        <f aca="false">COUNT(D6:W6)</f>
        <v>0</v>
      </c>
      <c r="Y6" s="14" t="n">
        <f aca="false">COUNTIF(D6:W6,"&gt;=3")</f>
        <v>0</v>
      </c>
      <c r="Z6" s="11" t="str">
        <f aca="false">IF(X6=0,"",Y6/X6)</f>
        <v/>
      </c>
      <c r="AA6" s="11" t="str">
        <f aca="false">IF(X6=0,"",AVERAGE(D6:W6))</f>
        <v/>
      </c>
      <c r="AB6" s="14" t="str">
        <f aca="false">IF(X6=0,"",IF(X6&lt;=5,IF(Z6=1,"Adequado","Revisar"),IF(Z6&gt;=0.78,"Adequado","Revisar")))</f>
        <v/>
      </c>
    </row>
    <row r="7" customFormat="false" ht="39.75" hidden="false" customHeight="true" outlineLevel="0" collapsed="false">
      <c r="A7" s="20" t="s">
        <v>159</v>
      </c>
      <c r="B7" s="7" t="s">
        <v>155</v>
      </c>
      <c r="C7" s="10" t="s">
        <v>160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14" t="n">
        <f aca="false">COUNT(D7:W7)</f>
        <v>0</v>
      </c>
      <c r="Y7" s="14" t="n">
        <f aca="false">COUNTIF(D7:W7,"&gt;=3")</f>
        <v>0</v>
      </c>
      <c r="Z7" s="11" t="str">
        <f aca="false">IF(X7=0,"",Y7/X7)</f>
        <v/>
      </c>
      <c r="AA7" s="11" t="str">
        <f aca="false">IF(X7=0,"",AVERAGE(D7:W7))</f>
        <v/>
      </c>
      <c r="AB7" s="14" t="str">
        <f aca="false">IF(X7=0,"",IF(X7&lt;=5,IF(Z7=1,"Adequado","Revisar"),IF(Z7&gt;=0.78,"Adequado","Revisar")))</f>
        <v/>
      </c>
    </row>
    <row r="8" customFormat="false" ht="39.75" hidden="false" customHeight="true" outlineLevel="0" collapsed="false">
      <c r="A8" s="20" t="s">
        <v>161</v>
      </c>
      <c r="B8" s="7" t="s">
        <v>155</v>
      </c>
      <c r="C8" s="10" t="s">
        <v>162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14" t="n">
        <f aca="false">COUNT(D8:W8)</f>
        <v>0</v>
      </c>
      <c r="Y8" s="14" t="n">
        <f aca="false">COUNTIF(D8:W8,"&gt;=3")</f>
        <v>0</v>
      </c>
      <c r="Z8" s="11" t="str">
        <f aca="false">IF(X8=0,"",Y8/X8)</f>
        <v/>
      </c>
      <c r="AA8" s="11" t="str">
        <f aca="false">IF(X8=0,"",AVERAGE(D8:W8))</f>
        <v/>
      </c>
      <c r="AB8" s="14" t="str">
        <f aca="false">IF(X8=0,"",IF(X8&lt;=5,IF(Z8=1,"Adequado","Revisar"),IF(Z8&gt;=0.78,"Adequado","Revisar")))</f>
        <v/>
      </c>
    </row>
    <row r="9" customFormat="false" ht="39.75" hidden="false" customHeight="true" outlineLevel="0" collapsed="false">
      <c r="A9" s="20" t="s">
        <v>163</v>
      </c>
      <c r="B9" s="7" t="s">
        <v>164</v>
      </c>
      <c r="C9" s="10" t="s">
        <v>165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14" t="n">
        <f aca="false">COUNT(D9:W9)</f>
        <v>0</v>
      </c>
      <c r="Y9" s="14" t="n">
        <f aca="false">COUNTIF(D9:W9,"&gt;=3")</f>
        <v>0</v>
      </c>
      <c r="Z9" s="11" t="str">
        <f aca="false">IF(X9=0,"",Y9/X9)</f>
        <v/>
      </c>
      <c r="AA9" s="11" t="str">
        <f aca="false">IF(X9=0,"",AVERAGE(D9:W9))</f>
        <v/>
      </c>
      <c r="AB9" s="14" t="str">
        <f aca="false">IF(X9=0,"",IF(X9&lt;=5,IF(Z9=1,"Adequado","Revisar"),IF(Z9&gt;=0.78,"Adequado","Revisar")))</f>
        <v/>
      </c>
    </row>
    <row r="10" customFormat="false" ht="39.75" hidden="false" customHeight="true" outlineLevel="0" collapsed="false">
      <c r="A10" s="20" t="s">
        <v>166</v>
      </c>
      <c r="B10" s="7" t="s">
        <v>164</v>
      </c>
      <c r="C10" s="10" t="s">
        <v>167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14" t="n">
        <f aca="false">COUNT(D10:W10)</f>
        <v>0</v>
      </c>
      <c r="Y10" s="14" t="n">
        <f aca="false">COUNTIF(D10:W10,"&gt;=3")</f>
        <v>0</v>
      </c>
      <c r="Z10" s="11" t="str">
        <f aca="false">IF(X10=0,"",Y10/X10)</f>
        <v/>
      </c>
      <c r="AA10" s="11" t="str">
        <f aca="false">IF(X10=0,"",AVERAGE(D10:W10))</f>
        <v/>
      </c>
      <c r="AB10" s="14" t="str">
        <f aca="false">IF(X10=0,"",IF(X10&lt;=5,IF(Z10=1,"Adequado","Revisar"),IF(Z10&gt;=0.78,"Adequado","Revisar")))</f>
        <v/>
      </c>
    </row>
    <row r="11" customFormat="false" ht="39.75" hidden="false" customHeight="true" outlineLevel="0" collapsed="false">
      <c r="A11" s="20" t="s">
        <v>168</v>
      </c>
      <c r="B11" s="7" t="s">
        <v>164</v>
      </c>
      <c r="C11" s="10" t="s">
        <v>169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14" t="n">
        <f aca="false">COUNT(D11:W11)</f>
        <v>0</v>
      </c>
      <c r="Y11" s="14" t="n">
        <f aca="false">COUNTIF(D11:W11,"&gt;=3")</f>
        <v>0</v>
      </c>
      <c r="Z11" s="11" t="str">
        <f aca="false">IF(X11=0,"",Y11/X11)</f>
        <v/>
      </c>
      <c r="AA11" s="11" t="str">
        <f aca="false">IF(X11=0,"",AVERAGE(D11:W11))</f>
        <v/>
      </c>
      <c r="AB11" s="14" t="str">
        <f aca="false">IF(X11=0,"",IF(X11&lt;=5,IF(Z11=1,"Adequado","Revisar"),IF(Z11&gt;=0.78,"Adequado","Revisar")))</f>
        <v/>
      </c>
    </row>
    <row r="12" customFormat="false" ht="39.75" hidden="false" customHeight="true" outlineLevel="0" collapsed="false">
      <c r="A12" s="20" t="s">
        <v>170</v>
      </c>
      <c r="B12" s="7" t="s">
        <v>164</v>
      </c>
      <c r="C12" s="10" t="s">
        <v>171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14" t="n">
        <f aca="false">COUNT(D12:W12)</f>
        <v>0</v>
      </c>
      <c r="Y12" s="14" t="n">
        <f aca="false">COUNTIF(D12:W12,"&gt;=3")</f>
        <v>0</v>
      </c>
      <c r="Z12" s="11" t="str">
        <f aca="false">IF(X12=0,"",Y12/X12)</f>
        <v/>
      </c>
      <c r="AA12" s="11" t="str">
        <f aca="false">IF(X12=0,"",AVERAGE(D12:W12))</f>
        <v/>
      </c>
      <c r="AB12" s="14" t="str">
        <f aca="false">IF(X12=0,"",IF(X12&lt;=5,IF(Z12=1,"Adequado","Revisar"),IF(Z12&gt;=0.78,"Adequado","Revisar")))</f>
        <v/>
      </c>
    </row>
    <row r="13" customFormat="false" ht="39.75" hidden="false" customHeight="true" outlineLevel="0" collapsed="false">
      <c r="A13" s="20" t="s">
        <v>172</v>
      </c>
      <c r="B13" s="7" t="s">
        <v>164</v>
      </c>
      <c r="C13" s="10" t="s">
        <v>173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14" t="n">
        <f aca="false">COUNT(D13:W13)</f>
        <v>0</v>
      </c>
      <c r="Y13" s="14" t="n">
        <f aca="false">COUNTIF(D13:W13,"&gt;=3")</f>
        <v>0</v>
      </c>
      <c r="Z13" s="11" t="str">
        <f aca="false">IF(X13=0,"",Y13/X13)</f>
        <v/>
      </c>
      <c r="AA13" s="11" t="str">
        <f aca="false">IF(X13=0,"",AVERAGE(D13:W13))</f>
        <v/>
      </c>
      <c r="AB13" s="14" t="str">
        <f aca="false">IF(X13=0,"",IF(X13&lt;=5,IF(Z13=1,"Adequado","Revisar"),IF(Z13&gt;=0.78,"Adequado","Revisar")))</f>
        <v/>
      </c>
    </row>
    <row r="14" customFormat="false" ht="39.75" hidden="false" customHeight="true" outlineLevel="0" collapsed="false">
      <c r="A14" s="20" t="s">
        <v>174</v>
      </c>
      <c r="B14" s="7" t="s">
        <v>175</v>
      </c>
      <c r="C14" s="10" t="s">
        <v>176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14" t="n">
        <f aca="false">COUNT(D14:W14)</f>
        <v>0</v>
      </c>
      <c r="Y14" s="14" t="n">
        <f aca="false">COUNTIF(D14:W14,"&gt;=3")</f>
        <v>0</v>
      </c>
      <c r="Z14" s="11" t="str">
        <f aca="false">IF(X14=0,"",Y14/X14)</f>
        <v/>
      </c>
      <c r="AA14" s="11" t="str">
        <f aca="false">IF(X14=0,"",AVERAGE(D14:W14))</f>
        <v/>
      </c>
      <c r="AB14" s="14" t="str">
        <f aca="false">IF(X14=0,"",IF(X14&lt;=5,IF(Z14=1,"Adequado","Revisar"),IF(Z14&gt;=0.78,"Adequado","Revisar")))</f>
        <v/>
      </c>
    </row>
    <row r="15" customFormat="false" ht="39.75" hidden="false" customHeight="true" outlineLevel="0" collapsed="false">
      <c r="A15" s="20" t="s">
        <v>177</v>
      </c>
      <c r="B15" s="7" t="s">
        <v>175</v>
      </c>
      <c r="C15" s="10" t="s">
        <v>178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14" t="n">
        <f aca="false">COUNT(D15:W15)</f>
        <v>0</v>
      </c>
      <c r="Y15" s="14" t="n">
        <f aca="false">COUNTIF(D15:W15,"&gt;=3")</f>
        <v>0</v>
      </c>
      <c r="Z15" s="11" t="str">
        <f aca="false">IF(X15=0,"",Y15/X15)</f>
        <v/>
      </c>
      <c r="AA15" s="11" t="str">
        <f aca="false">IF(X15=0,"",AVERAGE(D15:W15))</f>
        <v/>
      </c>
      <c r="AB15" s="14" t="str">
        <f aca="false">IF(X15=0,"",IF(X15&lt;=5,IF(Z15=1,"Adequado","Revisar"),IF(Z15&gt;=0.78,"Adequado","Revisar")))</f>
        <v/>
      </c>
    </row>
    <row r="16" customFormat="false" ht="39.75" hidden="false" customHeight="true" outlineLevel="0" collapsed="false">
      <c r="A16" s="20" t="s">
        <v>179</v>
      </c>
      <c r="B16" s="7" t="s">
        <v>175</v>
      </c>
      <c r="C16" s="10" t="s">
        <v>180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14" t="n">
        <f aca="false">COUNT(D16:W16)</f>
        <v>0</v>
      </c>
      <c r="Y16" s="14" t="n">
        <f aca="false">COUNTIF(D16:W16,"&gt;=3")</f>
        <v>0</v>
      </c>
      <c r="Z16" s="11" t="str">
        <f aca="false">IF(X16=0,"",Y16/X16)</f>
        <v/>
      </c>
      <c r="AA16" s="11" t="str">
        <f aca="false">IF(X16=0,"",AVERAGE(D16:W16))</f>
        <v/>
      </c>
      <c r="AB16" s="14" t="str">
        <f aca="false">IF(X16=0,"",IF(X16&lt;=5,IF(Z16=1,"Adequado","Revisar"),IF(Z16&gt;=0.78,"Adequado","Revisar")))</f>
        <v/>
      </c>
    </row>
    <row r="17" customFormat="false" ht="39.75" hidden="false" customHeight="true" outlineLevel="0" collapsed="false">
      <c r="A17" s="20" t="s">
        <v>181</v>
      </c>
      <c r="B17" s="7" t="s">
        <v>175</v>
      </c>
      <c r="C17" s="10" t="s">
        <v>182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14" t="n">
        <f aca="false">COUNT(D17:W17)</f>
        <v>0</v>
      </c>
      <c r="Y17" s="14" t="n">
        <f aca="false">COUNTIF(D17:W17,"&gt;=3")</f>
        <v>0</v>
      </c>
      <c r="Z17" s="11" t="str">
        <f aca="false">IF(X17=0,"",Y17/X17)</f>
        <v/>
      </c>
      <c r="AA17" s="11" t="str">
        <f aca="false">IF(X17=0,"",AVERAGE(D17:W17))</f>
        <v/>
      </c>
      <c r="AB17" s="14" t="str">
        <f aca="false">IF(X17=0,"",IF(X17&lt;=5,IF(Z17=1,"Adequado","Revisar"),IF(Z17&gt;=0.78,"Adequado","Revisar")))</f>
        <v/>
      </c>
    </row>
    <row r="18" customFormat="false" ht="39.75" hidden="false" customHeight="true" outlineLevel="0" collapsed="false">
      <c r="A18" s="20" t="s">
        <v>183</v>
      </c>
      <c r="B18" s="7" t="s">
        <v>175</v>
      </c>
      <c r="C18" s="10" t="s">
        <v>184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14" t="n">
        <f aca="false">COUNT(D18:W18)</f>
        <v>0</v>
      </c>
      <c r="Y18" s="14" t="n">
        <f aca="false">COUNTIF(D18:W18,"&gt;=3")</f>
        <v>0</v>
      </c>
      <c r="Z18" s="11" t="str">
        <f aca="false">IF(X18=0,"",Y18/X18)</f>
        <v/>
      </c>
      <c r="AA18" s="11" t="str">
        <f aca="false">IF(X18=0,"",AVERAGE(D18:W18))</f>
        <v/>
      </c>
      <c r="AB18" s="14" t="str">
        <f aca="false">IF(X18=0,"",IF(X18&lt;=5,IF(Z18=1,"Adequado","Revisar"),IF(Z18&gt;=0.78,"Adequado","Revisar")))</f>
        <v/>
      </c>
    </row>
    <row r="19" customFormat="false" ht="39.75" hidden="false" customHeight="true" outlineLevel="0" collapsed="false">
      <c r="A19" s="20" t="s">
        <v>185</v>
      </c>
      <c r="B19" s="7" t="s">
        <v>186</v>
      </c>
      <c r="C19" s="10" t="s">
        <v>187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14" t="n">
        <f aca="false">COUNT(D19:W19)</f>
        <v>0</v>
      </c>
      <c r="Y19" s="14" t="n">
        <f aca="false">COUNTIF(D19:W19,"&gt;=3")</f>
        <v>0</v>
      </c>
      <c r="Z19" s="11" t="str">
        <f aca="false">IF(X19=0,"",Y19/X19)</f>
        <v/>
      </c>
      <c r="AA19" s="11" t="str">
        <f aca="false">IF(X19=0,"",AVERAGE(D19:W19))</f>
        <v/>
      </c>
      <c r="AB19" s="14" t="str">
        <f aca="false">IF(X19=0,"",IF(X19&lt;=5,IF(Z19=1,"Adequado","Revisar"),IF(Z19&gt;=0.78,"Adequado","Revisar")))</f>
        <v/>
      </c>
    </row>
    <row r="20" customFormat="false" ht="39.75" hidden="false" customHeight="true" outlineLevel="0" collapsed="false">
      <c r="A20" s="20" t="s">
        <v>188</v>
      </c>
      <c r="B20" s="7" t="s">
        <v>186</v>
      </c>
      <c r="C20" s="10" t="s">
        <v>189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14" t="n">
        <f aca="false">COUNT(D20:W20)</f>
        <v>0</v>
      </c>
      <c r="Y20" s="14" t="n">
        <f aca="false">COUNTIF(D20:W20,"&gt;=3")</f>
        <v>0</v>
      </c>
      <c r="Z20" s="11" t="str">
        <f aca="false">IF(X20=0,"",Y20/X20)</f>
        <v/>
      </c>
      <c r="AA20" s="11" t="str">
        <f aca="false">IF(X20=0,"",AVERAGE(D20:W20))</f>
        <v/>
      </c>
      <c r="AB20" s="14" t="str">
        <f aca="false">IF(X20=0,"",IF(X20&lt;=5,IF(Z20=1,"Adequado","Revisar"),IF(Z20&gt;=0.78,"Adequado","Revisar")))</f>
        <v/>
      </c>
    </row>
    <row r="21" customFormat="false" ht="39.75" hidden="false" customHeight="true" outlineLevel="0" collapsed="false">
      <c r="A21" s="20" t="s">
        <v>190</v>
      </c>
      <c r="B21" s="7" t="s">
        <v>186</v>
      </c>
      <c r="C21" s="10" t="s">
        <v>191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14" t="n">
        <f aca="false">COUNT(D21:W21)</f>
        <v>0</v>
      </c>
      <c r="Y21" s="14" t="n">
        <f aca="false">COUNTIF(D21:W21,"&gt;=3")</f>
        <v>0</v>
      </c>
      <c r="Z21" s="11" t="str">
        <f aca="false">IF(X21=0,"",Y21/X21)</f>
        <v/>
      </c>
      <c r="AA21" s="11" t="str">
        <f aca="false">IF(X21=0,"",AVERAGE(D21:W21))</f>
        <v/>
      </c>
      <c r="AB21" s="14" t="str">
        <f aca="false">IF(X21=0,"",IF(X21&lt;=5,IF(Z21=1,"Adequado","Revisar"),IF(Z21&gt;=0.78,"Adequado","Revisar")))</f>
        <v/>
      </c>
    </row>
    <row r="22" customFormat="false" ht="39.75" hidden="false" customHeight="true" outlineLevel="0" collapsed="false">
      <c r="A22" s="20" t="s">
        <v>192</v>
      </c>
      <c r="B22" s="7" t="s">
        <v>186</v>
      </c>
      <c r="C22" s="10" t="s">
        <v>193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14" t="n">
        <f aca="false">COUNT(D22:W22)</f>
        <v>0</v>
      </c>
      <c r="Y22" s="14" t="n">
        <f aca="false">COUNTIF(D22:W22,"&gt;=3")</f>
        <v>0</v>
      </c>
      <c r="Z22" s="11" t="str">
        <f aca="false">IF(X22=0,"",Y22/X22)</f>
        <v/>
      </c>
      <c r="AA22" s="11" t="str">
        <f aca="false">IF(X22=0,"",AVERAGE(D22:W22))</f>
        <v/>
      </c>
      <c r="AB22" s="14" t="str">
        <f aca="false">IF(X22=0,"",IF(X22&lt;=5,IF(Z22=1,"Adequado","Revisar"),IF(Z22&gt;=0.78,"Adequado","Revisar")))</f>
        <v/>
      </c>
    </row>
    <row r="23" customFormat="false" ht="39.75" hidden="false" customHeight="true" outlineLevel="0" collapsed="false">
      <c r="A23" s="20" t="s">
        <v>130</v>
      </c>
      <c r="B23" s="7" t="s">
        <v>194</v>
      </c>
      <c r="C23" s="10" t="s">
        <v>195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14" t="n">
        <f aca="false">COUNT(D23:W23)</f>
        <v>0</v>
      </c>
      <c r="Y23" s="14" t="n">
        <f aca="false">COUNTIF(D23:W23,"&gt;=3")</f>
        <v>0</v>
      </c>
      <c r="Z23" s="11" t="str">
        <f aca="false">IF(X23=0,"",Y23/X23)</f>
        <v/>
      </c>
      <c r="AA23" s="11" t="str">
        <f aca="false">IF(X23=0,"",AVERAGE(D23:W23))</f>
        <v/>
      </c>
      <c r="AB23" s="14" t="str">
        <f aca="false">IF(X23=0,"",IF(X23&lt;=5,IF(Z23=1,"Adequado","Revisar"),IF(Z23&gt;=0.78,"Adequado","Revisar")))</f>
        <v/>
      </c>
    </row>
    <row r="24" customFormat="false" ht="39.75" hidden="false" customHeight="true" outlineLevel="0" collapsed="false">
      <c r="A24" s="20" t="s">
        <v>131</v>
      </c>
      <c r="B24" s="7" t="s">
        <v>194</v>
      </c>
      <c r="C24" s="10" t="s">
        <v>196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14" t="n">
        <f aca="false">COUNT(D24:W24)</f>
        <v>0</v>
      </c>
      <c r="Y24" s="14" t="n">
        <f aca="false">COUNTIF(D24:W24,"&gt;=3")</f>
        <v>0</v>
      </c>
      <c r="Z24" s="11" t="str">
        <f aca="false">IF(X24=0,"",Y24/X24)</f>
        <v/>
      </c>
      <c r="AA24" s="11" t="str">
        <f aca="false">IF(X24=0,"",AVERAGE(D24:W24))</f>
        <v/>
      </c>
      <c r="AB24" s="14" t="str">
        <f aca="false">IF(X24=0,"",IF(X24&lt;=5,IF(Z24=1,"Adequado","Revisar"),IF(Z24&gt;=0.78,"Adequado","Revisar")))</f>
        <v/>
      </c>
    </row>
    <row r="25" customFormat="false" ht="39.75" hidden="false" customHeight="true" outlineLevel="0" collapsed="false">
      <c r="A25" s="20" t="s">
        <v>132</v>
      </c>
      <c r="B25" s="7" t="s">
        <v>194</v>
      </c>
      <c r="C25" s="10" t="s">
        <v>197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14" t="n">
        <f aca="false">COUNT(D25:W25)</f>
        <v>0</v>
      </c>
      <c r="Y25" s="14" t="n">
        <f aca="false">COUNTIF(D25:W25,"&gt;=3")</f>
        <v>0</v>
      </c>
      <c r="Z25" s="11" t="str">
        <f aca="false">IF(X25=0,"",Y25/X25)</f>
        <v/>
      </c>
      <c r="AA25" s="11" t="str">
        <f aca="false">IF(X25=0,"",AVERAGE(D25:W25))</f>
        <v/>
      </c>
      <c r="AB25" s="14" t="str">
        <f aca="false">IF(X25=0,"",IF(X25&lt;=5,IF(Z25=1,"Adequado","Revisar"),IF(Z25&gt;=0.78,"Adequado","Revisar")))</f>
        <v/>
      </c>
    </row>
    <row r="26" customFormat="false" ht="39.75" hidden="false" customHeight="true" outlineLevel="0" collapsed="false">
      <c r="A26" s="20" t="s">
        <v>198</v>
      </c>
      <c r="B26" s="7" t="s">
        <v>199</v>
      </c>
      <c r="C26" s="10" t="s">
        <v>200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14" t="n">
        <f aca="false">COUNT(D26:W26)</f>
        <v>0</v>
      </c>
      <c r="Y26" s="14" t="n">
        <f aca="false">COUNTIF(D26:W26,"&gt;=3")</f>
        <v>0</v>
      </c>
      <c r="Z26" s="11" t="str">
        <f aca="false">IF(X26=0,"",Y26/X26)</f>
        <v/>
      </c>
      <c r="AA26" s="11" t="str">
        <f aca="false">IF(X26=0,"",AVERAGE(D26:W26))</f>
        <v/>
      </c>
      <c r="AB26" s="14" t="str">
        <f aca="false">IF(X26=0,"",IF(X26&lt;=5,IF(Z26=1,"Adequado","Revisar"),IF(Z26&gt;=0.78,"Adequado","Revisar")))</f>
        <v/>
      </c>
    </row>
    <row r="27" customFormat="false" ht="39.75" hidden="false" customHeight="true" outlineLevel="0" collapsed="false">
      <c r="A27" s="20" t="s">
        <v>201</v>
      </c>
      <c r="B27" s="7" t="s">
        <v>199</v>
      </c>
      <c r="C27" s="10" t="s">
        <v>202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14" t="n">
        <f aca="false">COUNT(D27:W27)</f>
        <v>0</v>
      </c>
      <c r="Y27" s="14" t="n">
        <f aca="false">COUNTIF(D27:W27,"&gt;=3")</f>
        <v>0</v>
      </c>
      <c r="Z27" s="11" t="str">
        <f aca="false">IF(X27=0,"",Y27/X27)</f>
        <v/>
      </c>
      <c r="AA27" s="11" t="str">
        <f aca="false">IF(X27=0,"",AVERAGE(D27:W27))</f>
        <v/>
      </c>
      <c r="AB27" s="14" t="str">
        <f aca="false">IF(X27=0,"",IF(X27&lt;=5,IF(Z27=1,"Adequado","Revisar"),IF(Z27&gt;=0.78,"Adequado","Revisar")))</f>
        <v/>
      </c>
    </row>
    <row r="28" customFormat="false" ht="39.75" hidden="false" customHeight="true" outlineLevel="0" collapsed="false">
      <c r="A28" s="20" t="s">
        <v>203</v>
      </c>
      <c r="B28" s="7" t="s">
        <v>199</v>
      </c>
      <c r="C28" s="10" t="s">
        <v>204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14" t="n">
        <f aca="false">COUNT(D28:W28)</f>
        <v>0</v>
      </c>
      <c r="Y28" s="14" t="n">
        <f aca="false">COUNTIF(D28:W28,"&gt;=3")</f>
        <v>0</v>
      </c>
      <c r="Z28" s="11" t="str">
        <f aca="false">IF(X28=0,"",Y28/X28)</f>
        <v/>
      </c>
      <c r="AA28" s="11" t="str">
        <f aca="false">IF(X28=0,"",AVERAGE(D28:W28))</f>
        <v/>
      </c>
      <c r="AB28" s="14" t="str">
        <f aca="false">IF(X28=0,"",IF(X28&lt;=5,IF(Z28=1,"Adequado","Revisar"),IF(Z28&gt;=0.78,"Adequado","Revisar")))</f>
        <v/>
      </c>
    </row>
  </sheetData>
  <dataValidations count="1">
    <dataValidation allowBlank="true" error="Digite um número inteiro de 1 a 4." errorStyle="stop" errorTitle="Valor inválido" operator="between" showDropDown="false" showErrorMessage="true" showInputMessage="false" sqref="D5:W28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4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8" t="s">
        <v>206</v>
      </c>
    </row>
    <row r="4" customFormat="false" ht="30" hidden="false" customHeight="true" outlineLevel="0" collapsed="false">
      <c r="A4" s="9" t="s">
        <v>207</v>
      </c>
      <c r="B4" s="9" t="s">
        <v>208</v>
      </c>
      <c r="C4" s="9" t="s">
        <v>209</v>
      </c>
      <c r="D4" s="9" t="s">
        <v>210</v>
      </c>
      <c r="E4" s="9" t="s">
        <v>73</v>
      </c>
      <c r="F4" s="9" t="s">
        <v>211</v>
      </c>
      <c r="G4" s="9" t="s">
        <v>212</v>
      </c>
      <c r="H4" s="9" t="s">
        <v>213</v>
      </c>
    </row>
    <row r="5" customFormat="false" ht="23.85" hidden="false" customHeight="false" outlineLevel="0" collapsed="false">
      <c r="A5" s="22" t="n">
        <v>0</v>
      </c>
      <c r="B5" s="22" t="s">
        <v>214</v>
      </c>
      <c r="C5" s="22" t="s">
        <v>215</v>
      </c>
      <c r="D5" s="22" t="s">
        <v>216</v>
      </c>
      <c r="E5" s="22" t="s">
        <v>77</v>
      </c>
      <c r="F5" s="22" t="s">
        <v>74</v>
      </c>
      <c r="G5" s="22" t="s">
        <v>217</v>
      </c>
      <c r="H5" s="22" t="s">
        <v>218</v>
      </c>
    </row>
    <row r="6" customFormat="false" ht="15" hidden="false" customHeight="false" outlineLevel="0" collapsed="false">
      <c r="A6" s="7" t="n">
        <v>1</v>
      </c>
      <c r="B6" s="23"/>
      <c r="C6" s="23"/>
      <c r="D6" s="23"/>
      <c r="E6" s="23"/>
      <c r="F6" s="23"/>
      <c r="G6" s="23"/>
      <c r="H6" s="23"/>
    </row>
    <row r="7" customFormat="false" ht="15" hidden="false" customHeight="false" outlineLevel="0" collapsed="false">
      <c r="A7" s="7" t="n">
        <v>2</v>
      </c>
      <c r="B7" s="23"/>
      <c r="C7" s="23"/>
      <c r="D7" s="23"/>
      <c r="E7" s="23"/>
      <c r="F7" s="23"/>
      <c r="G7" s="23"/>
      <c r="H7" s="23"/>
    </row>
    <row r="8" customFormat="false" ht="15" hidden="false" customHeight="false" outlineLevel="0" collapsed="false">
      <c r="A8" s="7" t="n">
        <v>3</v>
      </c>
      <c r="B8" s="23"/>
      <c r="C8" s="23"/>
      <c r="D8" s="23"/>
      <c r="E8" s="23"/>
      <c r="F8" s="23"/>
      <c r="G8" s="23"/>
      <c r="H8" s="23"/>
    </row>
    <row r="9" customFormat="false" ht="15" hidden="false" customHeight="false" outlineLevel="0" collapsed="false">
      <c r="A9" s="7" t="n">
        <v>4</v>
      </c>
      <c r="B9" s="23"/>
      <c r="C9" s="23"/>
      <c r="D9" s="23"/>
      <c r="E9" s="23"/>
      <c r="F9" s="23"/>
      <c r="G9" s="23"/>
      <c r="H9" s="23"/>
    </row>
    <row r="10" customFormat="false" ht="15" hidden="false" customHeight="false" outlineLevel="0" collapsed="false">
      <c r="A10" s="7" t="n">
        <v>5</v>
      </c>
      <c r="B10" s="23"/>
      <c r="C10" s="23"/>
      <c r="D10" s="23"/>
      <c r="E10" s="23"/>
      <c r="F10" s="23"/>
      <c r="G10" s="23"/>
      <c r="H10" s="23"/>
    </row>
    <row r="11" customFormat="false" ht="15" hidden="false" customHeight="false" outlineLevel="0" collapsed="false">
      <c r="A11" s="7" t="n">
        <v>6</v>
      </c>
      <c r="B11" s="23"/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7" t="n">
        <v>7</v>
      </c>
      <c r="B12" s="23"/>
      <c r="C12" s="23"/>
      <c r="D12" s="23"/>
      <c r="E12" s="23"/>
      <c r="F12" s="23"/>
      <c r="G12" s="23"/>
      <c r="H12" s="23"/>
    </row>
    <row r="13" customFormat="false" ht="15" hidden="false" customHeight="false" outlineLevel="0" collapsed="false">
      <c r="A13" s="7" t="n">
        <v>8</v>
      </c>
      <c r="B13" s="23"/>
      <c r="C13" s="23"/>
      <c r="D13" s="23"/>
      <c r="E13" s="23"/>
      <c r="F13" s="23"/>
      <c r="G13" s="23"/>
      <c r="H13" s="23"/>
    </row>
    <row r="14" customFormat="false" ht="15" hidden="false" customHeight="false" outlineLevel="0" collapsed="false">
      <c r="A14" s="7" t="n">
        <v>9</v>
      </c>
      <c r="B14" s="23"/>
      <c r="C14" s="23"/>
      <c r="D14" s="23"/>
      <c r="E14" s="23"/>
      <c r="F14" s="23"/>
      <c r="G14" s="23"/>
      <c r="H14" s="23"/>
    </row>
    <row r="15" customFormat="false" ht="15" hidden="false" customHeight="false" outlineLevel="0" collapsed="false">
      <c r="A15" s="7" t="n">
        <v>10</v>
      </c>
      <c r="B15" s="23"/>
      <c r="C15" s="23"/>
      <c r="D15" s="23"/>
      <c r="E15" s="23"/>
      <c r="F15" s="23"/>
      <c r="G15" s="23"/>
      <c r="H15" s="23"/>
    </row>
    <row r="16" customFormat="false" ht="15" hidden="false" customHeight="false" outlineLevel="0" collapsed="false">
      <c r="A16" s="7" t="n">
        <v>11</v>
      </c>
      <c r="B16" s="23"/>
      <c r="C16" s="23"/>
      <c r="D16" s="23"/>
      <c r="E16" s="23"/>
      <c r="F16" s="23"/>
      <c r="G16" s="23"/>
      <c r="H16" s="23"/>
    </row>
    <row r="17" customFormat="false" ht="15" hidden="false" customHeight="false" outlineLevel="0" collapsed="false">
      <c r="A17" s="7" t="n">
        <v>12</v>
      </c>
      <c r="B17" s="23"/>
      <c r="C17" s="23"/>
      <c r="D17" s="23"/>
      <c r="E17" s="23"/>
      <c r="F17" s="23"/>
      <c r="G17" s="23"/>
      <c r="H17" s="23"/>
    </row>
    <row r="18" customFormat="false" ht="15" hidden="false" customHeight="false" outlineLevel="0" collapsed="false">
      <c r="A18" s="7" t="n">
        <v>13</v>
      </c>
      <c r="B18" s="23"/>
      <c r="C18" s="23"/>
      <c r="D18" s="23"/>
      <c r="E18" s="23"/>
      <c r="F18" s="23"/>
      <c r="G18" s="23"/>
      <c r="H18" s="23"/>
    </row>
    <row r="19" customFormat="false" ht="15" hidden="false" customHeight="false" outlineLevel="0" collapsed="false">
      <c r="A19" s="7" t="n">
        <v>14</v>
      </c>
      <c r="B19" s="23"/>
      <c r="C19" s="23"/>
      <c r="D19" s="23"/>
      <c r="E19" s="23"/>
      <c r="F19" s="23"/>
      <c r="G19" s="23"/>
      <c r="H19" s="23"/>
    </row>
    <row r="20" customFormat="false" ht="15" hidden="false" customHeight="false" outlineLevel="0" collapsed="false">
      <c r="A20" s="7" t="n">
        <v>15</v>
      </c>
      <c r="B20" s="23"/>
      <c r="C20" s="23"/>
      <c r="D20" s="23"/>
      <c r="E20" s="23"/>
      <c r="F20" s="23"/>
      <c r="G20" s="23"/>
      <c r="H20" s="23"/>
    </row>
    <row r="21" customFormat="false" ht="15" hidden="false" customHeight="false" outlineLevel="0" collapsed="false">
      <c r="A21" s="7" t="n">
        <v>16</v>
      </c>
      <c r="B21" s="23"/>
      <c r="C21" s="23"/>
      <c r="D21" s="23"/>
      <c r="E21" s="23"/>
      <c r="F21" s="23"/>
      <c r="G21" s="23"/>
      <c r="H21" s="23"/>
    </row>
    <row r="22" customFormat="false" ht="15" hidden="false" customHeight="false" outlineLevel="0" collapsed="false">
      <c r="A22" s="7" t="n">
        <v>17</v>
      </c>
      <c r="B22" s="23"/>
      <c r="C22" s="23"/>
      <c r="D22" s="23"/>
      <c r="E22" s="23"/>
      <c r="F22" s="23"/>
      <c r="G22" s="23"/>
      <c r="H22" s="23"/>
    </row>
    <row r="23" customFormat="false" ht="15" hidden="false" customHeight="false" outlineLevel="0" collapsed="false">
      <c r="A23" s="7" t="n">
        <v>18</v>
      </c>
      <c r="B23" s="23"/>
      <c r="C23" s="23"/>
      <c r="D23" s="23"/>
      <c r="E23" s="23"/>
      <c r="F23" s="23"/>
      <c r="G23" s="23"/>
      <c r="H23" s="23"/>
    </row>
    <row r="24" customFormat="false" ht="15" hidden="false" customHeight="false" outlineLevel="0" collapsed="false">
      <c r="A24" s="7" t="n">
        <v>19</v>
      </c>
      <c r="B24" s="23"/>
      <c r="C24" s="23"/>
      <c r="D24" s="23"/>
      <c r="E24" s="23"/>
      <c r="F24" s="23"/>
      <c r="G24" s="23"/>
      <c r="H24" s="23"/>
    </row>
    <row r="25" customFormat="false" ht="15" hidden="false" customHeight="false" outlineLevel="0" collapsed="false">
      <c r="A25" s="7" t="n">
        <v>20</v>
      </c>
      <c r="B25" s="23"/>
      <c r="C25" s="23"/>
      <c r="D25" s="23"/>
      <c r="E25" s="23"/>
      <c r="F25" s="23"/>
      <c r="G25" s="23"/>
      <c r="H25" s="23"/>
    </row>
    <row r="26" customFormat="false" ht="15" hidden="false" customHeight="false" outlineLevel="0" collapsed="false">
      <c r="A26" s="7" t="n">
        <v>21</v>
      </c>
      <c r="B26" s="23"/>
      <c r="C26" s="23"/>
      <c r="D26" s="23"/>
      <c r="E26" s="23"/>
      <c r="F26" s="23"/>
      <c r="G26" s="23"/>
      <c r="H26" s="23"/>
    </row>
    <row r="27" customFormat="false" ht="15" hidden="false" customHeight="false" outlineLevel="0" collapsed="false">
      <c r="A27" s="7" t="n">
        <v>22</v>
      </c>
      <c r="B27" s="23"/>
      <c r="C27" s="23"/>
      <c r="D27" s="23"/>
      <c r="E27" s="23"/>
      <c r="F27" s="23"/>
      <c r="G27" s="23"/>
      <c r="H27" s="23"/>
    </row>
    <row r="28" customFormat="false" ht="15" hidden="false" customHeight="false" outlineLevel="0" collapsed="false">
      <c r="A28" s="7" t="n">
        <v>23</v>
      </c>
      <c r="B28" s="23"/>
      <c r="C28" s="23"/>
      <c r="D28" s="23"/>
      <c r="E28" s="23"/>
      <c r="F28" s="23"/>
      <c r="G28" s="23"/>
      <c r="H28" s="23"/>
    </row>
    <row r="29" customFormat="false" ht="15" hidden="false" customHeight="false" outlineLevel="0" collapsed="false">
      <c r="A29" s="7" t="n">
        <v>24</v>
      </c>
      <c r="B29" s="23"/>
      <c r="C29" s="23"/>
      <c r="D29" s="23"/>
      <c r="E29" s="23"/>
      <c r="F29" s="23"/>
      <c r="G29" s="23"/>
      <c r="H29" s="23"/>
    </row>
    <row r="30" customFormat="false" ht="15" hidden="false" customHeight="false" outlineLevel="0" collapsed="false">
      <c r="A30" s="7" t="n">
        <v>25</v>
      </c>
      <c r="B30" s="23"/>
      <c r="C30" s="23"/>
      <c r="D30" s="23"/>
      <c r="E30" s="23"/>
      <c r="F30" s="23"/>
      <c r="G30" s="23"/>
      <c r="H30" s="23"/>
    </row>
    <row r="31" customFormat="false" ht="15" hidden="false" customHeight="false" outlineLevel="0" collapsed="false">
      <c r="A31" s="7" t="n">
        <v>26</v>
      </c>
      <c r="B31" s="23"/>
      <c r="C31" s="23"/>
      <c r="D31" s="23"/>
      <c r="E31" s="23"/>
      <c r="F31" s="23"/>
      <c r="G31" s="23"/>
      <c r="H31" s="23"/>
    </row>
    <row r="32" customFormat="false" ht="15" hidden="false" customHeight="false" outlineLevel="0" collapsed="false">
      <c r="A32" s="7" t="n">
        <v>27</v>
      </c>
      <c r="B32" s="23"/>
      <c r="C32" s="23"/>
      <c r="D32" s="23"/>
      <c r="E32" s="23"/>
      <c r="F32" s="23"/>
      <c r="G32" s="23"/>
      <c r="H32" s="23"/>
    </row>
    <row r="33" customFormat="false" ht="15" hidden="false" customHeight="false" outlineLevel="0" collapsed="false">
      <c r="A33" s="7" t="n">
        <v>28</v>
      </c>
      <c r="B33" s="23"/>
      <c r="C33" s="23"/>
      <c r="D33" s="23"/>
      <c r="E33" s="23"/>
      <c r="F33" s="23"/>
      <c r="G33" s="23"/>
      <c r="H33" s="23"/>
    </row>
    <row r="34" customFormat="false" ht="15" hidden="false" customHeight="false" outlineLevel="0" collapsed="false">
      <c r="A34" s="7" t="n">
        <v>29</v>
      </c>
      <c r="B34" s="23"/>
      <c r="C34" s="23"/>
      <c r="D34" s="23"/>
      <c r="E34" s="23"/>
      <c r="F34" s="23"/>
      <c r="G34" s="23"/>
      <c r="H34" s="23"/>
    </row>
    <row r="35" customFormat="false" ht="15" hidden="false" customHeight="false" outlineLevel="0" collapsed="false">
      <c r="A35" s="7" t="n">
        <v>30</v>
      </c>
      <c r="B35" s="23"/>
      <c r="C35" s="23"/>
      <c r="D35" s="23"/>
      <c r="E35" s="23"/>
      <c r="F35" s="23"/>
      <c r="G35" s="23"/>
      <c r="H35" s="23"/>
    </row>
    <row r="36" customFormat="false" ht="15" hidden="false" customHeight="false" outlineLevel="0" collapsed="false">
      <c r="A36" s="7" t="n">
        <v>31</v>
      </c>
      <c r="B36" s="23"/>
      <c r="C36" s="23"/>
      <c r="D36" s="23"/>
      <c r="E36" s="23"/>
      <c r="F36" s="23"/>
      <c r="G36" s="23"/>
      <c r="H36" s="23"/>
    </row>
    <row r="37" customFormat="false" ht="15" hidden="false" customHeight="false" outlineLevel="0" collapsed="false">
      <c r="A37" s="7" t="n">
        <v>32</v>
      </c>
      <c r="B37" s="23"/>
      <c r="C37" s="23"/>
      <c r="D37" s="23"/>
      <c r="E37" s="23"/>
      <c r="F37" s="23"/>
      <c r="G37" s="23"/>
      <c r="H37" s="23"/>
    </row>
    <row r="38" customFormat="false" ht="15" hidden="false" customHeight="false" outlineLevel="0" collapsed="false">
      <c r="A38" s="7" t="n">
        <v>33</v>
      </c>
      <c r="B38" s="23"/>
      <c r="C38" s="23"/>
      <c r="D38" s="23"/>
      <c r="E38" s="23"/>
      <c r="F38" s="23"/>
      <c r="G38" s="23"/>
      <c r="H38" s="23"/>
    </row>
    <row r="39" customFormat="false" ht="15" hidden="false" customHeight="false" outlineLevel="0" collapsed="false">
      <c r="A39" s="7" t="n">
        <v>34</v>
      </c>
      <c r="B39" s="23"/>
      <c r="C39" s="23"/>
      <c r="D39" s="23"/>
      <c r="E39" s="23"/>
      <c r="F39" s="23"/>
      <c r="G39" s="23"/>
      <c r="H39" s="23"/>
    </row>
    <row r="40" customFormat="false" ht="15" hidden="false" customHeight="false" outlineLevel="0" collapsed="false">
      <c r="A40" s="7" t="n">
        <v>35</v>
      </c>
      <c r="B40" s="23"/>
      <c r="C40" s="23"/>
      <c r="D40" s="23"/>
      <c r="E40" s="23"/>
      <c r="F40" s="23"/>
      <c r="G40" s="23"/>
      <c r="H40" s="23"/>
    </row>
    <row r="41" customFormat="false" ht="15" hidden="false" customHeight="false" outlineLevel="0" collapsed="false">
      <c r="A41" s="7" t="n">
        <v>36</v>
      </c>
      <c r="B41" s="23"/>
      <c r="C41" s="23"/>
      <c r="D41" s="23"/>
      <c r="E41" s="23"/>
      <c r="F41" s="23"/>
      <c r="G41" s="23"/>
      <c r="H41" s="23"/>
    </row>
    <row r="42" customFormat="false" ht="15" hidden="false" customHeight="false" outlineLevel="0" collapsed="false">
      <c r="A42" s="7" t="n">
        <v>37</v>
      </c>
      <c r="B42" s="23"/>
      <c r="C42" s="23"/>
      <c r="D42" s="23"/>
      <c r="E42" s="23"/>
      <c r="F42" s="23"/>
      <c r="G42" s="23"/>
      <c r="H42" s="23"/>
    </row>
    <row r="43" customFormat="false" ht="15" hidden="false" customHeight="false" outlineLevel="0" collapsed="false">
      <c r="A43" s="7" t="n">
        <v>38</v>
      </c>
      <c r="B43" s="23"/>
      <c r="C43" s="23"/>
      <c r="D43" s="23"/>
      <c r="E43" s="23"/>
      <c r="F43" s="23"/>
      <c r="G43" s="23"/>
      <c r="H43" s="23"/>
    </row>
    <row r="44" customFormat="false" ht="15" hidden="false" customHeight="false" outlineLevel="0" collapsed="false">
      <c r="A44" s="7" t="n">
        <v>39</v>
      </c>
      <c r="B44" s="23"/>
      <c r="C44" s="23"/>
      <c r="D44" s="23"/>
      <c r="E44" s="23"/>
      <c r="F44" s="23"/>
      <c r="G44" s="23"/>
      <c r="H44" s="23"/>
    </row>
    <row r="45" customFormat="false" ht="15" hidden="false" customHeight="false" outlineLevel="0" collapsed="false">
      <c r="A45" s="7" t="n">
        <v>40</v>
      </c>
      <c r="B45" s="23"/>
      <c r="C45" s="23"/>
      <c r="D45" s="23"/>
      <c r="E45" s="23"/>
      <c r="F45" s="23"/>
      <c r="G45" s="23"/>
      <c r="H45" s="23"/>
    </row>
    <row r="46" customFormat="false" ht="15" hidden="false" customHeight="false" outlineLevel="0" collapsed="false">
      <c r="A46" s="7" t="n">
        <v>41</v>
      </c>
      <c r="B46" s="23"/>
      <c r="C46" s="23"/>
      <c r="D46" s="23"/>
      <c r="E46" s="23"/>
      <c r="F46" s="23"/>
      <c r="G46" s="23"/>
      <c r="H46" s="23"/>
    </row>
    <row r="47" customFormat="false" ht="15" hidden="false" customHeight="false" outlineLevel="0" collapsed="false">
      <c r="A47" s="7" t="n">
        <v>42</v>
      </c>
      <c r="B47" s="23"/>
      <c r="C47" s="23"/>
      <c r="D47" s="23"/>
      <c r="E47" s="23"/>
      <c r="F47" s="23"/>
      <c r="G47" s="23"/>
      <c r="H47" s="23"/>
    </row>
    <row r="48" customFormat="false" ht="15" hidden="false" customHeight="false" outlineLevel="0" collapsed="false">
      <c r="A48" s="7" t="n">
        <v>43</v>
      </c>
      <c r="B48" s="23"/>
      <c r="C48" s="23"/>
      <c r="D48" s="23"/>
      <c r="E48" s="23"/>
      <c r="F48" s="23"/>
      <c r="G48" s="23"/>
      <c r="H48" s="23"/>
    </row>
    <row r="49" customFormat="false" ht="15" hidden="false" customHeight="false" outlineLevel="0" collapsed="false">
      <c r="A49" s="7" t="n">
        <v>44</v>
      </c>
      <c r="B49" s="23"/>
      <c r="C49" s="23"/>
      <c r="D49" s="23"/>
      <c r="E49" s="23"/>
      <c r="F49" s="23"/>
      <c r="G49" s="23"/>
      <c r="H49" s="23"/>
    </row>
    <row r="50" customFormat="false" ht="15" hidden="false" customHeight="false" outlineLevel="0" collapsed="false">
      <c r="A50" s="7" t="n">
        <v>45</v>
      </c>
      <c r="B50" s="23"/>
      <c r="C50" s="23"/>
      <c r="D50" s="23"/>
      <c r="E50" s="23"/>
      <c r="F50" s="23"/>
      <c r="G50" s="23"/>
      <c r="H50" s="23"/>
    </row>
    <row r="51" customFormat="false" ht="15" hidden="false" customHeight="false" outlineLevel="0" collapsed="false">
      <c r="A51" s="7" t="n">
        <v>46</v>
      </c>
      <c r="B51" s="23"/>
      <c r="C51" s="23"/>
      <c r="D51" s="23"/>
      <c r="E51" s="23"/>
      <c r="F51" s="23"/>
      <c r="G51" s="23"/>
      <c r="H51" s="23"/>
    </row>
    <row r="52" customFormat="false" ht="15" hidden="false" customHeight="false" outlineLevel="0" collapsed="false">
      <c r="A52" s="7" t="n">
        <v>47</v>
      </c>
      <c r="B52" s="23"/>
      <c r="C52" s="23"/>
      <c r="D52" s="23"/>
      <c r="E52" s="23"/>
      <c r="F52" s="23"/>
      <c r="G52" s="23"/>
      <c r="H52" s="23"/>
    </row>
    <row r="53" customFormat="false" ht="15" hidden="false" customHeight="false" outlineLevel="0" collapsed="false">
      <c r="A53" s="7" t="n">
        <v>48</v>
      </c>
      <c r="B53" s="23"/>
      <c r="C53" s="23"/>
      <c r="D53" s="23"/>
      <c r="E53" s="23"/>
      <c r="F53" s="23"/>
      <c r="G53" s="23"/>
      <c r="H53" s="23"/>
    </row>
    <row r="54" customFormat="false" ht="15" hidden="false" customHeight="false" outlineLevel="0" collapsed="false">
      <c r="A54" s="7" t="n">
        <v>49</v>
      </c>
      <c r="B54" s="23"/>
      <c r="C54" s="23"/>
      <c r="D54" s="23"/>
      <c r="E54" s="23"/>
      <c r="F54" s="23"/>
      <c r="G54" s="23"/>
      <c r="H54" s="23"/>
    </row>
    <row r="55" customFormat="false" ht="15" hidden="false" customHeight="false" outlineLevel="0" collapsed="false">
      <c r="A55" s="7" t="n">
        <v>50</v>
      </c>
      <c r="B55" s="23"/>
      <c r="C55" s="23"/>
      <c r="D55" s="23"/>
      <c r="E55" s="23"/>
      <c r="F55" s="23"/>
      <c r="G55" s="23"/>
      <c r="H55" s="23"/>
    </row>
    <row r="56" customFormat="false" ht="15" hidden="false" customHeight="false" outlineLevel="0" collapsed="false">
      <c r="A56" s="7" t="n">
        <v>51</v>
      </c>
      <c r="B56" s="23"/>
      <c r="C56" s="23"/>
      <c r="D56" s="23"/>
      <c r="E56" s="23"/>
      <c r="F56" s="23"/>
      <c r="G56" s="23"/>
      <c r="H56" s="23"/>
    </row>
    <row r="57" customFormat="false" ht="15" hidden="false" customHeight="false" outlineLevel="0" collapsed="false">
      <c r="A57" s="7" t="n">
        <v>52</v>
      </c>
      <c r="B57" s="23"/>
      <c r="C57" s="23"/>
      <c r="D57" s="23"/>
      <c r="E57" s="23"/>
      <c r="F57" s="23"/>
      <c r="G57" s="23"/>
      <c r="H57" s="23"/>
    </row>
    <row r="58" customFormat="false" ht="15" hidden="false" customHeight="false" outlineLevel="0" collapsed="false">
      <c r="A58" s="7" t="n">
        <v>53</v>
      </c>
      <c r="B58" s="23"/>
      <c r="C58" s="23"/>
      <c r="D58" s="23"/>
      <c r="E58" s="23"/>
      <c r="F58" s="23"/>
      <c r="G58" s="23"/>
      <c r="H58" s="23"/>
    </row>
    <row r="59" customFormat="false" ht="15" hidden="false" customHeight="false" outlineLevel="0" collapsed="false">
      <c r="A59" s="7" t="n">
        <v>54</v>
      </c>
      <c r="B59" s="23"/>
      <c r="C59" s="23"/>
      <c r="D59" s="23"/>
      <c r="E59" s="23"/>
      <c r="F59" s="23"/>
      <c r="G59" s="23"/>
      <c r="H59" s="23"/>
    </row>
    <row r="60" customFormat="false" ht="15" hidden="false" customHeight="false" outlineLevel="0" collapsed="false">
      <c r="A60" s="7" t="n">
        <v>55</v>
      </c>
      <c r="B60" s="23"/>
      <c r="C60" s="23"/>
      <c r="D60" s="23"/>
      <c r="E60" s="23"/>
      <c r="F60" s="23"/>
      <c r="G60" s="23"/>
      <c r="H60" s="23"/>
    </row>
    <row r="61" customFormat="false" ht="15" hidden="false" customHeight="false" outlineLevel="0" collapsed="false">
      <c r="A61" s="7" t="n">
        <v>56</v>
      </c>
      <c r="B61" s="23"/>
      <c r="C61" s="23"/>
      <c r="D61" s="23"/>
      <c r="E61" s="23"/>
      <c r="F61" s="23"/>
      <c r="G61" s="23"/>
      <c r="H61" s="23"/>
    </row>
    <row r="62" customFormat="false" ht="15" hidden="false" customHeight="false" outlineLevel="0" collapsed="false">
      <c r="A62" s="7" t="n">
        <v>57</v>
      </c>
      <c r="B62" s="23"/>
      <c r="C62" s="23"/>
      <c r="D62" s="23"/>
      <c r="E62" s="23"/>
      <c r="F62" s="23"/>
      <c r="G62" s="23"/>
      <c r="H62" s="23"/>
    </row>
    <row r="63" customFormat="false" ht="15" hidden="false" customHeight="false" outlineLevel="0" collapsed="false">
      <c r="A63" s="7" t="n">
        <v>58</v>
      </c>
      <c r="B63" s="23"/>
      <c r="C63" s="23"/>
      <c r="D63" s="23"/>
      <c r="E63" s="23"/>
      <c r="F63" s="23"/>
      <c r="G63" s="23"/>
      <c r="H63" s="23"/>
    </row>
    <row r="64" customFormat="false" ht="15" hidden="false" customHeight="false" outlineLevel="0" collapsed="false">
      <c r="A64" s="7" t="n">
        <v>59</v>
      </c>
      <c r="B64" s="23"/>
      <c r="C64" s="23"/>
      <c r="D64" s="23"/>
      <c r="E64" s="23"/>
      <c r="F64" s="23"/>
      <c r="G64" s="23"/>
      <c r="H64" s="23"/>
    </row>
    <row r="65" customFormat="false" ht="15" hidden="false" customHeight="false" outlineLevel="0" collapsed="false">
      <c r="A65" s="7" t="n">
        <v>60</v>
      </c>
      <c r="B65" s="23"/>
      <c r="C65" s="23"/>
      <c r="D65" s="23"/>
      <c r="E65" s="23"/>
      <c r="F65" s="23"/>
      <c r="G65" s="23"/>
      <c r="H65" s="23"/>
    </row>
  </sheetData>
  <dataValidations count="3">
    <dataValidation allowBlank="true" errorStyle="stop" operator="between" showDropDown="false" showErrorMessage="false" showInputMessage="false" sqref="E6:E65" type="list">
      <formula1>"Conceito,Terminologia,Protocolo,Realismo,Linguagem,Técnico (erro ou falha),Acessibilidade"</formula1>
      <formula2>0</formula2>
    </dataValidation>
    <dataValidation allowBlank="true" errorStyle="stop" operator="between" showDropDown="false" showErrorMessage="false" showInputMessage="false" sqref="F6:F65" type="list">
      <formula1>"Baixa,Média,Alta"</formula1>
      <formula2>0</formula2>
    </dataValidation>
    <dataValidation allowBlank="true" errorStyle="stop" operator="between" showDropDown="false" showErrorMessage="false" showInputMessage="false" sqref="H6:H65" type="list">
      <formula1>"Manter,Ajustar,Remover,Discutir"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2026-09-21T02:31:03Z</dcterms:created>
  <dc:creator>openpyxl</dc:creator>
  <dc:description/>
  <dc:language>en-US</dc:language>
  <cp:lastModifiedBy/>
  <dcterms:modified xsi:type="dcterms:W3CDTF">2026-09-21T02:31:04Z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